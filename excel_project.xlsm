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B6124F1A-AFFB-F854-7757-9A1D4C6FC43C}"/>
  <workbookPr codeName="ThisWorkbook" hidePivotFieldList="1"/>
  <mc:AlternateContent xmlns:mc="http://schemas.openxmlformats.org/markup-compatibility/2006">
    <mc:Choice Requires="x15">
      <x15ac:absPath xmlns:x15ac="http://schemas.microsoft.com/office/spreadsheetml/2010/11/ac" url="C:\MyDocuments\randomstuff\"/>
    </mc:Choice>
  </mc:AlternateContent>
  <xr:revisionPtr revIDLastSave="0" documentId="13_ncr:1_{C56EE91E-8C72-4359-8570-F38319EE7898}" xr6:coauthVersionLast="47" xr6:coauthVersionMax="47" xr10:uidLastSave="{00000000-0000-0000-0000-000000000000}"/>
  <bookViews>
    <workbookView xWindow="-108" yWindow="-108" windowWidth="23256" windowHeight="12576" tabRatio="711" activeTab="4" xr2:uid="{023351EE-788D-4E6B-B821-3C2FF9891088}"/>
  </bookViews>
  <sheets>
    <sheet name="Dashboard" sheetId="10" r:id="rId1"/>
    <sheet name="Bare charts" sheetId="6" r:id="rId2"/>
    <sheet name="Pivot Tables" sheetId="8" r:id="rId3"/>
    <sheet name="Refined Population Dataset" sheetId="9" r:id="rId4"/>
    <sheet name="Raw DataSet" sheetId="11" r:id="rId5"/>
  </sheets>
  <definedNames>
    <definedName name="_xlcn.WorksheetConnection_project.xlsxDataset1" hidden="1">Dataset[]</definedName>
    <definedName name="_xlcn.WorksheetConnection_project.xlsxTable21" hidden="1">table1</definedName>
    <definedName name="_xlcn.WorksheetConnection_project.xlsxTable41" hidden="1">Table4</definedName>
    <definedName name="Slicer_Country_Name">#N/A</definedName>
    <definedName name="Slicer_Year">#N/A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4" name="Table4" connection="WorksheetConnection_project.xlsx!Table4"/>
          <x15:modelTable id="Table2" name="Table2" connection="WorksheetConnection_project.xlsx!Table2"/>
          <x15:modelTable id="Dataset" name="Dataset" connection="WorksheetConnection_project.xlsx!Datase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 i="11" l="1"/>
  <c r="H3" i="11"/>
  <c r="H4" i="11"/>
  <c r="H5" i="11"/>
  <c r="H6" i="11"/>
  <c r="H7" i="1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G36" i="11"/>
  <c r="H36" i="11"/>
  <c r="H37" i="11"/>
  <c r="H38" i="11"/>
  <c r="H39" i="11"/>
  <c r="H40" i="11"/>
  <c r="H41" i="11"/>
  <c r="H42" i="11"/>
  <c r="H43" i="11"/>
  <c r="H44" i="11"/>
  <c r="H45" i="11"/>
  <c r="H46" i="11"/>
  <c r="H47" i="11"/>
  <c r="H48" i="11"/>
  <c r="H49" i="11"/>
  <c r="H50" i="11"/>
  <c r="H51" i="11"/>
  <c r="H52" i="11"/>
  <c r="G53" i="11"/>
  <c r="H53" i="11"/>
  <c r="H54" i="11"/>
  <c r="H55" i="11"/>
  <c r="H56" i="11"/>
  <c r="H57" i="11"/>
  <c r="H58" i="11"/>
  <c r="H59" i="11"/>
  <c r="H60" i="11"/>
  <c r="H61" i="11"/>
  <c r="H62" i="11"/>
  <c r="H63" i="11"/>
  <c r="H64" i="11"/>
  <c r="H65" i="11"/>
  <c r="H66" i="11"/>
  <c r="H67" i="11"/>
  <c r="H68" i="11"/>
  <c r="H69" i="11"/>
  <c r="G70"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G104" i="11"/>
  <c r="H104" i="11"/>
  <c r="H105" i="11"/>
  <c r="H106" i="11"/>
  <c r="H107" i="11"/>
  <c r="H108" i="11"/>
  <c r="H109" i="11"/>
  <c r="H110" i="11"/>
  <c r="H111" i="11"/>
  <c r="H112" i="11"/>
  <c r="H113" i="11"/>
  <c r="H114" i="11"/>
  <c r="H115" i="11"/>
  <c r="H116" i="11"/>
  <c r="H117" i="11"/>
  <c r="H118" i="11"/>
  <c r="H119" i="11"/>
  <c r="H120" i="11"/>
  <c r="G121" i="11"/>
  <c r="H121" i="11"/>
  <c r="H122" i="11"/>
  <c r="H123" i="11"/>
  <c r="H124" i="11"/>
  <c r="H125" i="11"/>
  <c r="H126" i="11"/>
  <c r="H127" i="11"/>
  <c r="H128" i="11"/>
  <c r="H129" i="11"/>
  <c r="H130" i="11"/>
  <c r="H131" i="11"/>
  <c r="H132" i="11"/>
  <c r="H133" i="11"/>
  <c r="H134" i="11"/>
  <c r="H135" i="11"/>
  <c r="H136" i="11"/>
  <c r="H137" i="11"/>
  <c r="G138" i="11"/>
  <c r="H138" i="11"/>
  <c r="H139" i="11"/>
  <c r="H140" i="11"/>
  <c r="H141" i="11"/>
  <c r="H142" i="11"/>
  <c r="H143" i="11"/>
  <c r="H144" i="11"/>
  <c r="H145" i="11"/>
  <c r="H146" i="11"/>
  <c r="H147" i="11"/>
  <c r="H148" i="11"/>
  <c r="H149" i="11"/>
  <c r="H150" i="11"/>
  <c r="H151" i="11"/>
  <c r="H152" i="11"/>
  <c r="H153" i="11"/>
  <c r="H154" i="11"/>
  <c r="G155" i="11"/>
  <c r="H155" i="11"/>
  <c r="H156" i="11"/>
  <c r="H157" i="11"/>
  <c r="H158" i="11"/>
  <c r="H159" i="11"/>
  <c r="H160" i="11"/>
  <c r="H161" i="11"/>
  <c r="H162" i="11"/>
  <c r="H163" i="11"/>
  <c r="H164" i="11"/>
  <c r="H165" i="11"/>
  <c r="H166" i="11"/>
  <c r="H167" i="11"/>
  <c r="H168" i="11"/>
  <c r="H169" i="11"/>
  <c r="H170" i="11"/>
  <c r="H171" i="11"/>
  <c r="H172" i="11"/>
  <c r="H173" i="11"/>
  <c r="H174" i="11"/>
  <c r="H175" i="11"/>
  <c r="H176" i="11"/>
  <c r="H177" i="11"/>
  <c r="H178" i="11"/>
  <c r="H179" i="11"/>
  <c r="H180" i="11"/>
  <c r="H181" i="11"/>
  <c r="H182" i="11"/>
  <c r="H183" i="11"/>
  <c r="H184" i="11"/>
  <c r="H185" i="11"/>
  <c r="H186" i="11"/>
  <c r="H187" i="11"/>
  <c r="H188" i="11"/>
  <c r="H189" i="11"/>
  <c r="H190" i="11"/>
  <c r="H191" i="11"/>
  <c r="H192" i="11"/>
  <c r="H193" i="11"/>
  <c r="H194" i="11"/>
  <c r="H195" i="11"/>
  <c r="H196" i="11"/>
  <c r="H197" i="11"/>
  <c r="H198" i="11"/>
  <c r="H199" i="11"/>
  <c r="H200" i="11"/>
  <c r="H201" i="11"/>
  <c r="H202" i="11"/>
  <c r="H203" i="11"/>
  <c r="H204" i="11"/>
  <c r="H205" i="11"/>
  <c r="H206" i="11"/>
  <c r="H207" i="11"/>
  <c r="H208" i="11"/>
  <c r="H209" i="11"/>
  <c r="H210" i="11"/>
  <c r="H211" i="11"/>
  <c r="H212" i="11"/>
  <c r="H213" i="11"/>
  <c r="H214" i="11"/>
  <c r="H215" i="11"/>
  <c r="H216" i="11"/>
  <c r="H217" i="11"/>
  <c r="H218" i="11"/>
  <c r="H219" i="11"/>
  <c r="H220" i="11"/>
  <c r="H221" i="11"/>
  <c r="H222" i="11"/>
  <c r="H223" i="11"/>
  <c r="H224" i="11"/>
  <c r="H225" i="11"/>
  <c r="H226" i="11"/>
  <c r="H227" i="11"/>
  <c r="H228" i="11"/>
  <c r="H229" i="11"/>
  <c r="H230" i="11"/>
  <c r="H231" i="11"/>
  <c r="H232" i="11"/>
  <c r="H233"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G274" i="11"/>
  <c r="H274" i="11"/>
  <c r="H275" i="11"/>
  <c r="H276" i="11"/>
  <c r="H277" i="11"/>
  <c r="H278" i="11"/>
  <c r="H279" i="11"/>
  <c r="H280" i="11"/>
  <c r="H281" i="11"/>
  <c r="H282" i="11"/>
  <c r="H283" i="11"/>
  <c r="H284" i="11"/>
  <c r="H285" i="11"/>
  <c r="H286" i="11"/>
  <c r="H287" i="11"/>
  <c r="H288" i="11"/>
  <c r="H289" i="11"/>
  <c r="G290" i="11"/>
  <c r="H290" i="11"/>
  <c r="G291" i="11"/>
  <c r="H291" i="11"/>
  <c r="H292" i="11"/>
  <c r="H293" i="11"/>
  <c r="H294" i="11"/>
  <c r="H295" i="11"/>
  <c r="H296" i="11"/>
  <c r="H297" i="11"/>
  <c r="H298" i="11"/>
  <c r="H299" i="11"/>
  <c r="H300" i="11"/>
  <c r="H301" i="11"/>
  <c r="H302" i="11"/>
  <c r="H303" i="11"/>
  <c r="H304" i="11"/>
  <c r="H305" i="11"/>
  <c r="H306" i="11"/>
  <c r="G307" i="11"/>
  <c r="H307" i="11"/>
  <c r="G308" i="11"/>
  <c r="H308" i="11"/>
  <c r="H309" i="11"/>
  <c r="H310" i="11"/>
  <c r="H311" i="11"/>
  <c r="H312" i="11"/>
  <c r="H313" i="11"/>
  <c r="H314" i="11"/>
  <c r="H315" i="11"/>
  <c r="H316" i="11"/>
  <c r="H317" i="11"/>
  <c r="H318" i="11"/>
  <c r="H319" i="11"/>
  <c r="H320" i="11"/>
  <c r="H321" i="11"/>
  <c r="H322" i="11"/>
  <c r="H323" i="11"/>
  <c r="G324" i="11"/>
  <c r="H324" i="11"/>
  <c r="G325" i="11"/>
  <c r="H325" i="11"/>
  <c r="H326" i="11"/>
  <c r="H327" i="11"/>
  <c r="H328" i="11"/>
  <c r="H329" i="11"/>
  <c r="H330" i="11"/>
  <c r="H331" i="11"/>
  <c r="H332" i="11"/>
  <c r="H333" i="11"/>
  <c r="H334" i="11"/>
  <c r="H335" i="11"/>
  <c r="H336" i="11"/>
  <c r="H337" i="11"/>
  <c r="H338" i="11"/>
  <c r="H339" i="11"/>
  <c r="H340" i="11"/>
  <c r="G341" i="11"/>
  <c r="H341" i="11"/>
  <c r="H342" i="11"/>
  <c r="H343" i="11"/>
  <c r="H344" i="11"/>
  <c r="H345" i="11"/>
  <c r="H346" i="11"/>
  <c r="H347" i="11"/>
  <c r="H348" i="11"/>
  <c r="H349" i="11"/>
  <c r="H350" i="11"/>
  <c r="H351" i="11"/>
  <c r="H352" i="11"/>
  <c r="H353" i="11"/>
  <c r="H354" i="11"/>
  <c r="H355" i="11"/>
  <c r="H356" i="11"/>
  <c r="H357" i="11"/>
  <c r="H358" i="11"/>
  <c r="G359" i="11"/>
  <c r="H359" i="11"/>
  <c r="H360" i="11"/>
  <c r="H361" i="11"/>
  <c r="H362" i="11"/>
  <c r="H363" i="11"/>
  <c r="H364" i="11"/>
  <c r="H365" i="11"/>
  <c r="H366" i="11"/>
  <c r="H367" i="11"/>
  <c r="H368" i="11"/>
  <c r="H369" i="11"/>
  <c r="H370" i="11"/>
  <c r="H371" i="11"/>
  <c r="H372" i="11"/>
  <c r="H373" i="11"/>
  <c r="H374" i="11"/>
  <c r="H375" i="11"/>
  <c r="G376" i="11"/>
  <c r="H376" i="11"/>
  <c r="H377" i="11"/>
  <c r="H378" i="11"/>
  <c r="H379" i="11"/>
  <c r="H380" i="11"/>
  <c r="H381" i="11"/>
  <c r="H382" i="11"/>
  <c r="H383" i="11"/>
  <c r="H384" i="11"/>
  <c r="H385" i="11"/>
  <c r="H386" i="11"/>
  <c r="H387" i="11"/>
  <c r="H388" i="11"/>
  <c r="H389" i="11"/>
  <c r="H390" i="11"/>
  <c r="H391" i="11"/>
  <c r="H392" i="11"/>
  <c r="G393" i="11"/>
  <c r="H393" i="11"/>
  <c r="H394" i="11"/>
  <c r="H395" i="11"/>
  <c r="H396" i="11"/>
  <c r="H397" i="11"/>
  <c r="H398" i="11"/>
  <c r="H399" i="11"/>
  <c r="H400" i="11"/>
  <c r="H401" i="11"/>
  <c r="H402" i="11"/>
  <c r="H403" i="11"/>
  <c r="H404" i="11"/>
  <c r="H405" i="11"/>
  <c r="H406" i="11"/>
  <c r="H407" i="11"/>
  <c r="H408" i="11"/>
  <c r="H409" i="11"/>
  <c r="G410" i="11"/>
  <c r="H410" i="11"/>
  <c r="H411" i="11"/>
  <c r="H412" i="11"/>
  <c r="H413" i="11"/>
  <c r="H414" i="11"/>
  <c r="H415" i="11"/>
  <c r="H416" i="11"/>
  <c r="H417" i="11"/>
  <c r="H418" i="11"/>
  <c r="H419" i="11"/>
  <c r="H420" i="11"/>
  <c r="H421" i="11"/>
  <c r="H422" i="11"/>
  <c r="H423" i="11"/>
  <c r="H424" i="11"/>
  <c r="H425" i="11"/>
  <c r="H426" i="11"/>
  <c r="I328" i="9"/>
  <c r="I311" i="9"/>
  <c r="I294" i="9"/>
  <c r="I277" i="9"/>
  <c r="J5" i="9"/>
  <c r="J429" i="9"/>
  <c r="J428" i="9"/>
  <c r="J427" i="9"/>
  <c r="J426" i="9"/>
  <c r="J425" i="9"/>
  <c r="J424" i="9"/>
  <c r="J423" i="9"/>
  <c r="J422" i="9"/>
  <c r="J421" i="9"/>
  <c r="J420" i="9"/>
  <c r="J419" i="9"/>
  <c r="J418" i="9"/>
  <c r="J417" i="9"/>
  <c r="J416" i="9"/>
  <c r="J415" i="9"/>
  <c r="J414" i="9"/>
  <c r="J413" i="9"/>
  <c r="I413" i="9"/>
  <c r="J412" i="9"/>
  <c r="J411" i="9"/>
  <c r="J410" i="9"/>
  <c r="J409" i="9"/>
  <c r="J408" i="9"/>
  <c r="J407" i="9"/>
  <c r="J406" i="9"/>
  <c r="J405" i="9"/>
  <c r="J404" i="9"/>
  <c r="J403" i="9"/>
  <c r="J402" i="9"/>
  <c r="J401" i="9"/>
  <c r="J400" i="9"/>
  <c r="J399" i="9"/>
  <c r="J398" i="9"/>
  <c r="J397" i="9"/>
  <c r="J396" i="9"/>
  <c r="I396" i="9"/>
  <c r="J395" i="9"/>
  <c r="J394" i="9"/>
  <c r="J393" i="9"/>
  <c r="J392" i="9"/>
  <c r="J391" i="9"/>
  <c r="J390" i="9"/>
  <c r="J389" i="9"/>
  <c r="J388" i="9"/>
  <c r="J387" i="9"/>
  <c r="J386" i="9"/>
  <c r="J385" i="9"/>
  <c r="J384" i="9"/>
  <c r="J383" i="9"/>
  <c r="J382" i="9"/>
  <c r="J381" i="9"/>
  <c r="J380" i="9"/>
  <c r="J379" i="9"/>
  <c r="I379" i="9"/>
  <c r="J378" i="9"/>
  <c r="J377" i="9"/>
  <c r="J376" i="9"/>
  <c r="J375" i="9"/>
  <c r="J374" i="9"/>
  <c r="J373" i="9"/>
  <c r="J372" i="9"/>
  <c r="J371" i="9"/>
  <c r="J370" i="9"/>
  <c r="J369" i="9"/>
  <c r="J368" i="9"/>
  <c r="J367" i="9"/>
  <c r="J366" i="9"/>
  <c r="J365" i="9"/>
  <c r="J364" i="9"/>
  <c r="J363" i="9"/>
  <c r="J362" i="9"/>
  <c r="I362" i="9"/>
  <c r="J361" i="9"/>
  <c r="J360" i="9"/>
  <c r="J359" i="9"/>
  <c r="J358" i="9"/>
  <c r="J357" i="9"/>
  <c r="J356" i="9"/>
  <c r="J355" i="9"/>
  <c r="J354" i="9"/>
  <c r="J353" i="9"/>
  <c r="J352" i="9"/>
  <c r="J351" i="9"/>
  <c r="J350" i="9"/>
  <c r="J349" i="9"/>
  <c r="J348" i="9"/>
  <c r="J347" i="9"/>
  <c r="J346" i="9"/>
  <c r="J345" i="9"/>
  <c r="J344" i="9"/>
  <c r="I344" i="9"/>
  <c r="J343" i="9"/>
  <c r="J342" i="9"/>
  <c r="J341" i="9"/>
  <c r="J340" i="9"/>
  <c r="J339" i="9"/>
  <c r="J338" i="9"/>
  <c r="J337" i="9"/>
  <c r="J336" i="9"/>
  <c r="J335" i="9"/>
  <c r="J334" i="9"/>
  <c r="J333" i="9"/>
  <c r="J332" i="9"/>
  <c r="J331" i="9"/>
  <c r="J330" i="9"/>
  <c r="J329" i="9"/>
  <c r="J328" i="9"/>
  <c r="J327" i="9"/>
  <c r="I327" i="9"/>
  <c r="J326" i="9"/>
  <c r="J325" i="9"/>
  <c r="J324" i="9"/>
  <c r="J323" i="9"/>
  <c r="J322" i="9"/>
  <c r="J321" i="9"/>
  <c r="J320" i="9"/>
  <c r="J319" i="9"/>
  <c r="J318" i="9"/>
  <c r="J317" i="9"/>
  <c r="J316" i="9"/>
  <c r="J315" i="9"/>
  <c r="J314" i="9"/>
  <c r="J313" i="9"/>
  <c r="J312" i="9"/>
  <c r="J311" i="9"/>
  <c r="J310" i="9"/>
  <c r="I310" i="9"/>
  <c r="J309" i="9"/>
  <c r="J308" i="9"/>
  <c r="J307" i="9"/>
  <c r="J306" i="9"/>
  <c r="J305" i="9"/>
  <c r="J304" i="9"/>
  <c r="J303" i="9"/>
  <c r="J302" i="9"/>
  <c r="J301" i="9"/>
  <c r="J300" i="9"/>
  <c r="J299" i="9"/>
  <c r="J298" i="9"/>
  <c r="J297" i="9"/>
  <c r="J296" i="9"/>
  <c r="J295" i="9"/>
  <c r="J294" i="9"/>
  <c r="J293" i="9"/>
  <c r="I293" i="9"/>
  <c r="J292" i="9"/>
  <c r="J291" i="9"/>
  <c r="J290" i="9"/>
  <c r="J289" i="9"/>
  <c r="J288" i="9"/>
  <c r="J287" i="9"/>
  <c r="J286" i="9"/>
  <c r="J285" i="9"/>
  <c r="J284" i="9"/>
  <c r="J283" i="9"/>
  <c r="J282" i="9"/>
  <c r="J281" i="9"/>
  <c r="J280" i="9"/>
  <c r="J279" i="9"/>
  <c r="J278" i="9"/>
  <c r="J277" i="9"/>
  <c r="J276" i="9"/>
  <c r="J275" i="9"/>
  <c r="J274" i="9"/>
  <c r="J273" i="9"/>
  <c r="J272" i="9"/>
  <c r="J271" i="9"/>
  <c r="J270" i="9"/>
  <c r="J269" i="9"/>
  <c r="J268" i="9"/>
  <c r="J267" i="9"/>
  <c r="J266" i="9"/>
  <c r="J265" i="9"/>
  <c r="J264" i="9"/>
  <c r="J263" i="9"/>
  <c r="J262" i="9"/>
  <c r="J261" i="9"/>
  <c r="J260" i="9"/>
  <c r="J259" i="9"/>
  <c r="J258" i="9"/>
  <c r="J257" i="9"/>
  <c r="J256" i="9"/>
  <c r="J255" i="9"/>
  <c r="J254" i="9"/>
  <c r="J253" i="9"/>
  <c r="J252" i="9"/>
  <c r="J251" i="9"/>
  <c r="J250" i="9"/>
  <c r="J249" i="9"/>
  <c r="J248" i="9"/>
  <c r="J247" i="9"/>
  <c r="J246" i="9"/>
  <c r="J245" i="9"/>
  <c r="J244" i="9"/>
  <c r="J243" i="9"/>
  <c r="J242" i="9"/>
  <c r="J241" i="9"/>
  <c r="J240" i="9"/>
  <c r="J239" i="9"/>
  <c r="J238" i="9"/>
  <c r="J237" i="9"/>
  <c r="J236" i="9"/>
  <c r="J235" i="9"/>
  <c r="J234" i="9"/>
  <c r="J233" i="9"/>
  <c r="J232" i="9"/>
  <c r="J231" i="9"/>
  <c r="J230" i="9"/>
  <c r="J229" i="9"/>
  <c r="J228" i="9"/>
  <c r="J227" i="9"/>
  <c r="J226" i="9"/>
  <c r="J225" i="9"/>
  <c r="J224" i="9"/>
  <c r="J223" i="9"/>
  <c r="J222" i="9"/>
  <c r="J221" i="9"/>
  <c r="J220" i="9"/>
  <c r="J219" i="9"/>
  <c r="J218" i="9"/>
  <c r="J217" i="9"/>
  <c r="J216" i="9"/>
  <c r="J215" i="9"/>
  <c r="J214" i="9"/>
  <c r="J213" i="9"/>
  <c r="J212" i="9"/>
  <c r="J211" i="9"/>
  <c r="J210" i="9"/>
  <c r="J209" i="9"/>
  <c r="J208" i="9"/>
  <c r="J207" i="9"/>
  <c r="J206" i="9"/>
  <c r="J205" i="9"/>
  <c r="J204" i="9"/>
  <c r="J203" i="9"/>
  <c r="J202" i="9"/>
  <c r="J201" i="9"/>
  <c r="J200" i="9"/>
  <c r="J199" i="9"/>
  <c r="J198" i="9"/>
  <c r="J197" i="9"/>
  <c r="J196" i="9"/>
  <c r="J195" i="9"/>
  <c r="J194" i="9"/>
  <c r="J193" i="9"/>
  <c r="J192" i="9"/>
  <c r="J191" i="9"/>
  <c r="J190" i="9"/>
  <c r="J189" i="9"/>
  <c r="J188" i="9"/>
  <c r="J187" i="9"/>
  <c r="J186" i="9"/>
  <c r="J185" i="9"/>
  <c r="J184" i="9"/>
  <c r="J183" i="9"/>
  <c r="J182" i="9"/>
  <c r="J181" i="9"/>
  <c r="J180" i="9"/>
  <c r="J179" i="9"/>
  <c r="J178" i="9"/>
  <c r="J177" i="9"/>
  <c r="J176" i="9"/>
  <c r="J175" i="9"/>
  <c r="J174" i="9"/>
  <c r="J173" i="9"/>
  <c r="J172" i="9"/>
  <c r="J171" i="9"/>
  <c r="J170" i="9"/>
  <c r="J169" i="9"/>
  <c r="J168" i="9"/>
  <c r="J167" i="9"/>
  <c r="J166" i="9"/>
  <c r="J165" i="9"/>
  <c r="J164" i="9"/>
  <c r="J163" i="9"/>
  <c r="J162" i="9"/>
  <c r="J161" i="9"/>
  <c r="J160" i="9"/>
  <c r="J159" i="9"/>
  <c r="J158" i="9"/>
  <c r="I158" i="9"/>
  <c r="J157" i="9"/>
  <c r="J156" i="9"/>
  <c r="J155" i="9"/>
  <c r="J154" i="9"/>
  <c r="J153" i="9"/>
  <c r="J152" i="9"/>
  <c r="J151" i="9"/>
  <c r="J150" i="9"/>
  <c r="J149" i="9"/>
  <c r="J148" i="9"/>
  <c r="J147" i="9"/>
  <c r="J146" i="9"/>
  <c r="J145" i="9"/>
  <c r="J144" i="9"/>
  <c r="J143" i="9"/>
  <c r="J142" i="9"/>
  <c r="J141" i="9"/>
  <c r="I141" i="9"/>
  <c r="J140" i="9"/>
  <c r="J139" i="9"/>
  <c r="J138" i="9"/>
  <c r="J137" i="9"/>
  <c r="J136" i="9"/>
  <c r="J135" i="9"/>
  <c r="J134" i="9"/>
  <c r="J133" i="9"/>
  <c r="J132" i="9"/>
  <c r="J131" i="9"/>
  <c r="J130" i="9"/>
  <c r="J129" i="9"/>
  <c r="J128" i="9"/>
  <c r="J127" i="9"/>
  <c r="J126" i="9"/>
  <c r="J125" i="9"/>
  <c r="J124" i="9"/>
  <c r="I124" i="9"/>
  <c r="J123" i="9"/>
  <c r="J122" i="9"/>
  <c r="J121" i="9"/>
  <c r="J120" i="9"/>
  <c r="J119" i="9"/>
  <c r="J118" i="9"/>
  <c r="J117" i="9"/>
  <c r="J116" i="9"/>
  <c r="J115" i="9"/>
  <c r="J114" i="9"/>
  <c r="J113" i="9"/>
  <c r="J112" i="9"/>
  <c r="J111" i="9"/>
  <c r="J110" i="9"/>
  <c r="J109" i="9"/>
  <c r="J108" i="9"/>
  <c r="J107" i="9"/>
  <c r="I107" i="9"/>
  <c r="J106" i="9"/>
  <c r="J105" i="9"/>
  <c r="J104" i="9"/>
  <c r="J103" i="9"/>
  <c r="J102" i="9"/>
  <c r="J101" i="9"/>
  <c r="J100" i="9"/>
  <c r="J99" i="9"/>
  <c r="J98" i="9"/>
  <c r="J97" i="9"/>
  <c r="J96" i="9"/>
  <c r="J95" i="9"/>
  <c r="J94" i="9"/>
  <c r="J93" i="9"/>
  <c r="J92" i="9"/>
  <c r="J91" i="9"/>
  <c r="J90" i="9"/>
  <c r="J89" i="9"/>
  <c r="J88" i="9"/>
  <c r="J87" i="9"/>
  <c r="J86" i="9"/>
  <c r="J85" i="9"/>
  <c r="J84" i="9"/>
  <c r="J83" i="9"/>
  <c r="J82" i="9"/>
  <c r="J81" i="9"/>
  <c r="J80" i="9"/>
  <c r="J79" i="9"/>
  <c r="J78" i="9"/>
  <c r="J77" i="9"/>
  <c r="J76" i="9"/>
  <c r="J75" i="9"/>
  <c r="J74" i="9"/>
  <c r="J73" i="9"/>
  <c r="I73" i="9"/>
  <c r="J72" i="9"/>
  <c r="J71" i="9"/>
  <c r="J70" i="9"/>
  <c r="J69" i="9"/>
  <c r="J68" i="9"/>
  <c r="J67" i="9"/>
  <c r="J66" i="9"/>
  <c r="J65" i="9"/>
  <c r="J64" i="9"/>
  <c r="J63" i="9"/>
  <c r="J62" i="9"/>
  <c r="J61" i="9"/>
  <c r="J60" i="9"/>
  <c r="J59" i="9"/>
  <c r="J58" i="9"/>
  <c r="J57" i="9"/>
  <c r="J56" i="9"/>
  <c r="I56" i="9"/>
  <c r="J55" i="9"/>
  <c r="J54" i="9"/>
  <c r="J53" i="9"/>
  <c r="J52" i="9"/>
  <c r="J51" i="9"/>
  <c r="J50" i="9"/>
  <c r="J49" i="9"/>
  <c r="J48" i="9"/>
  <c r="J47" i="9"/>
  <c r="J46" i="9"/>
  <c r="J45" i="9"/>
  <c r="J44" i="9"/>
  <c r="J43" i="9"/>
  <c r="J42" i="9"/>
  <c r="J41" i="9"/>
  <c r="J40" i="9"/>
  <c r="J39" i="9"/>
  <c r="I39" i="9"/>
  <c r="J38" i="9"/>
  <c r="J37" i="9"/>
  <c r="J36" i="9"/>
  <c r="J35" i="9"/>
  <c r="J34" i="9"/>
  <c r="J33" i="9"/>
  <c r="J32" i="9"/>
  <c r="J31" i="9"/>
  <c r="J30" i="9"/>
  <c r="J29" i="9"/>
  <c r="J28" i="9"/>
  <c r="J27" i="9"/>
  <c r="J26" i="9"/>
  <c r="J25" i="9"/>
  <c r="J24" i="9"/>
  <c r="J23" i="9"/>
  <c r="J22" i="9"/>
  <c r="J21" i="9"/>
  <c r="J20" i="9"/>
  <c r="J19" i="9"/>
  <c r="J18" i="9"/>
  <c r="J17" i="9"/>
  <c r="J16" i="9"/>
  <c r="J15" i="9"/>
  <c r="J14" i="9"/>
  <c r="J13" i="9"/>
  <c r="J12" i="9"/>
  <c r="J11" i="9"/>
  <c r="J10" i="9"/>
  <c r="J9" i="9"/>
  <c r="J8" i="9"/>
  <c r="J7" i="9"/>
  <c r="J6" i="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3BB1251-80D4-47D4-9F94-A8C9FD02AF22}"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89CB6A8C-6A75-4DE6-BA44-C04EE65C1092}" name="WorksheetConnection_project.xlsx!Dataset" type="102" refreshedVersion="7" minRefreshableVersion="5">
    <extLst>
      <ext xmlns:x15="http://schemas.microsoft.com/office/spreadsheetml/2010/11/main" uri="{DE250136-89BD-433C-8126-D09CA5730AF9}">
        <x15:connection id="Dataset">
          <x15:rangePr sourceName="_xlcn.WorksheetConnection_project.xlsxDataset1"/>
        </x15:connection>
      </ext>
    </extLst>
  </connection>
  <connection id="3" xr16:uid="{5645C825-D913-41C7-B046-27D60CC559E5}" name="WorksheetConnection_project.xlsx!Table2" type="102" refreshedVersion="7" minRefreshableVersion="5">
    <extLst>
      <ext xmlns:x15="http://schemas.microsoft.com/office/spreadsheetml/2010/11/main" uri="{DE250136-89BD-433C-8126-D09CA5730AF9}">
        <x15:connection id="Table2">
          <x15:rangePr sourceName="_xlcn.WorksheetConnection_project.xlsxTable21"/>
        </x15:connection>
      </ext>
    </extLst>
  </connection>
  <connection id="4" xr16:uid="{0588375E-0C9D-46DF-B6CA-1ED1C222DE3C}" name="WorksheetConnection_project.xlsx!Table4" type="102" refreshedVersion="7" minRefreshableVersion="5">
    <extLst>
      <ext xmlns:x15="http://schemas.microsoft.com/office/spreadsheetml/2010/11/main" uri="{DE250136-89BD-433C-8126-D09CA5730AF9}">
        <x15:connection id="Table4">
          <x15:rangePr sourceName="_xlcn.WorksheetConnection_project.xlsxTable41"/>
        </x15:connection>
      </ext>
    </extLst>
  </connection>
</connections>
</file>

<file path=xl/sharedStrings.xml><?xml version="1.0" encoding="utf-8"?>
<sst xmlns="http://schemas.openxmlformats.org/spreadsheetml/2006/main" count="1794" uniqueCount="46">
  <si>
    <t>Age Group</t>
  </si>
  <si>
    <t>Year</t>
  </si>
  <si>
    <t>Country Name</t>
  </si>
  <si>
    <t>Male Population</t>
  </si>
  <si>
    <t>Female Population</t>
  </si>
  <si>
    <t>Total Population</t>
  </si>
  <si>
    <t>India</t>
  </si>
  <si>
    <t>Japan</t>
  </si>
  <si>
    <t>Iran</t>
  </si>
  <si>
    <t>00-04 years</t>
  </si>
  <si>
    <t>05-09 years</t>
  </si>
  <si>
    <t>10-14 years</t>
  </si>
  <si>
    <t>15-19 years</t>
  </si>
  <si>
    <t>20-24 years</t>
  </si>
  <si>
    <t>25-29 years</t>
  </si>
  <si>
    <t>30-34 years</t>
  </si>
  <si>
    <t>35-40 years</t>
  </si>
  <si>
    <t>45-49 years</t>
  </si>
  <si>
    <t>50-54 years</t>
  </si>
  <si>
    <t>55-59 years</t>
  </si>
  <si>
    <t>60-64 years</t>
  </si>
  <si>
    <t>65-69 years</t>
  </si>
  <si>
    <t>70-74 years</t>
  </si>
  <si>
    <t>75-79 years</t>
  </si>
  <si>
    <t>80+ years</t>
  </si>
  <si>
    <t>America</t>
  </si>
  <si>
    <t>Births</t>
  </si>
  <si>
    <t>Deaths</t>
  </si>
  <si>
    <t>Germany</t>
  </si>
  <si>
    <t>Row Labels</t>
  </si>
  <si>
    <t>Grand Total</t>
  </si>
  <si>
    <t>Sum of Male Population</t>
  </si>
  <si>
    <t>Sum of Female Population</t>
  </si>
  <si>
    <t>Sum of Total Population</t>
  </si>
  <si>
    <t>40-44 years</t>
  </si>
  <si>
    <t>Sr No.</t>
  </si>
  <si>
    <t>Average of Birth Rates</t>
  </si>
  <si>
    <t>Average of Death rates</t>
  </si>
  <si>
    <t>No. of Births</t>
  </si>
  <si>
    <t>No. of Deaths</t>
  </si>
  <si>
    <t>Sex ratios</t>
  </si>
  <si>
    <t>BACK</t>
  </si>
  <si>
    <t>Population Dataset</t>
  </si>
  <si>
    <t>THE 6 PIVOT TABLE USED</t>
  </si>
  <si>
    <t>THE 6 GRAPHS</t>
  </si>
  <si>
    <t>BY ADITYENDRA PRATAP SINGH REG NO. 11909853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</si>
</sst>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b/>
      <sz val="11"/>
      <color theme="1"/>
      <name val="Calibri"/>
      <family val="2"/>
      <scheme val="minor"/>
    </font>
    <font>
      <u/>
      <sz val="11"/>
      <color theme="10"/>
      <name val="Calibri"/>
      <family val="2"/>
      <scheme val="minor"/>
    </font>
    <font>
      <sz val="26"/>
      <color theme="1"/>
      <name val="Calibri"/>
      <family val="2"/>
      <scheme val="minor"/>
    </font>
    <font>
      <b/>
      <u/>
      <sz val="16"/>
      <color theme="10"/>
      <name val="Calibri"/>
      <family val="2"/>
      <scheme val="minor"/>
    </font>
  </fonts>
  <fills count="3">
    <fill>
      <patternFill patternType="none"/>
    </fill>
    <fill>
      <patternFill patternType="gray125"/>
    </fill>
    <fill>
      <patternFill patternType="solid">
        <fgColor rgb="FF8B0361"/>
        <bgColor indexed="64"/>
      </patternFill>
    </fill>
  </fills>
  <borders count="5">
    <border>
      <left/>
      <right/>
      <top/>
      <bottom/>
      <diagonal/>
    </border>
    <border>
      <left style="thin">
        <color theme="4"/>
      </left>
      <right/>
      <top style="thin">
        <color theme="4"/>
      </top>
      <bottom/>
      <diagonal/>
    </border>
    <border>
      <left/>
      <right/>
      <top style="thin">
        <color theme="4"/>
      </top>
      <bottom/>
      <diagonal/>
    </border>
    <border>
      <left style="thin">
        <color theme="4"/>
      </left>
      <right/>
      <top style="thin">
        <color theme="4"/>
      </top>
      <bottom style="thin">
        <color theme="4"/>
      </bottom>
      <diagonal/>
    </border>
    <border>
      <left/>
      <right/>
      <top style="thin">
        <color theme="4"/>
      </top>
      <bottom style="thin">
        <color theme="4"/>
      </bottom>
      <diagonal/>
    </border>
  </borders>
  <cellStyleXfs count="2">
    <xf numFmtId="0" fontId="0" fillId="0" borderId="0"/>
    <xf numFmtId="0" fontId="2" fillId="0" borderId="0" applyNumberFormat="0" applyFill="0" applyBorder="0" applyAlignment="0" applyProtection="0"/>
  </cellStyleXfs>
  <cellXfs count="16">
    <xf numFmtId="0" fontId="0" fillId="0" borderId="0" xfId="0"/>
    <xf numFmtId="0" fontId="0" fillId="0" borderId="0" xfId="0" applyNumberFormat="1"/>
    <xf numFmtId="0" fontId="0" fillId="0" borderId="0" xfId="0" applyAlignment="1">
      <alignment horizontal="left"/>
    </xf>
    <xf numFmtId="0" fontId="0" fillId="0" borderId="0" xfId="0" pivotButton="1"/>
    <xf numFmtId="0" fontId="0" fillId="0" borderId="1" xfId="0" applyFont="1" applyBorder="1"/>
    <xf numFmtId="0" fontId="0" fillId="0" borderId="2" xfId="0" applyFont="1" applyBorder="1"/>
    <xf numFmtId="0" fontId="0" fillId="0" borderId="3" xfId="0" applyFont="1" applyBorder="1"/>
    <xf numFmtId="0" fontId="0" fillId="0" borderId="4" xfId="0" applyFont="1" applyBorder="1"/>
    <xf numFmtId="0" fontId="0" fillId="0" borderId="2" xfId="0" applyFont="1" applyBorder="1" applyAlignment="1">
      <alignment horizontal="center"/>
    </xf>
    <xf numFmtId="0" fontId="0" fillId="0" borderId="2" xfId="0" applyNumberFormat="1" applyFont="1" applyBorder="1"/>
    <xf numFmtId="0" fontId="0" fillId="0" borderId="4" xfId="0" applyFont="1" applyBorder="1" applyAlignment="1">
      <alignment horizontal="center"/>
    </xf>
    <xf numFmtId="0" fontId="4" fillId="2" borderId="0" xfId="1" applyFont="1" applyFill="1" applyAlignment="1">
      <alignment horizontal="center" vertical="center"/>
    </xf>
    <xf numFmtId="0" fontId="1" fillId="0" borderId="0" xfId="0" applyFont="1" applyAlignment="1">
      <alignment horizontal="center"/>
    </xf>
    <xf numFmtId="0" fontId="0" fillId="0" borderId="0" xfId="0" applyAlignment="1">
      <alignment horizontal="center"/>
    </xf>
    <xf numFmtId="0" fontId="3" fillId="0" borderId="0" xfId="0" applyFont="1" applyAlignment="1">
      <alignment horizontal="center" vertical="center"/>
    </xf>
    <xf numFmtId="0" fontId="0" fillId="0" borderId="0" xfId="0" applyAlignment="1">
      <alignment horizontal="center" vertical="center"/>
    </xf>
  </cellXfs>
  <cellStyles count="2">
    <cellStyle name="Hyperlink" xfId="1" builtinId="8"/>
    <cellStyle name="Normal" xfId="0" builtinId="0"/>
  </cellStyles>
  <dxfs count="11">
    <dxf>
      <font>
        <b val="0"/>
        <i val="0"/>
        <strike val="0"/>
        <condense val="0"/>
        <extend val="0"/>
        <outline val="0"/>
        <shadow val="0"/>
        <u val="none"/>
        <vertAlign val="baseline"/>
        <sz val="11"/>
        <color theme="1"/>
        <name val="Calibri"/>
        <family val="2"/>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theme="4"/>
        </left>
        <right/>
        <top style="thin">
          <color theme="4"/>
        </top>
        <bottom/>
        <vertical/>
        <horizontal/>
      </border>
    </dxf>
    <dxf>
      <font>
        <b val="0"/>
        <i val="0"/>
        <strike val="0"/>
        <condense val="0"/>
        <extend val="0"/>
        <outline val="0"/>
        <shadow val="0"/>
        <u val="none"/>
        <vertAlign val="baseline"/>
        <sz val="11"/>
        <color theme="1"/>
        <name val="Calibri"/>
        <family val="2"/>
        <scheme val="minor"/>
      </font>
    </dxf>
    <dxf>
      <font>
        <b/>
        <i val="0"/>
        <strike val="0"/>
        <u val="none"/>
        <color theme="0"/>
        <name val="Cavolini"/>
        <family val="4"/>
        <scheme val="none"/>
      </font>
      <fill>
        <patternFill>
          <bgColor theme="1"/>
        </patternFill>
      </fill>
    </dxf>
  </dxfs>
  <tableStyles count="1" defaultTableStyle="TableStyleMedium2" defaultPivotStyle="PivotStyleLight16">
    <tableStyle name="Slicer Style 1" pivot="0" table="0" count="5" xr9:uid="{878FB987-A8B4-48CC-8E26-453177116A07}">
      <tableStyleElement type="wholeTable" dxfId="10"/>
    </tableStyle>
  </tableStyles>
  <colors>
    <mruColors>
      <color rgb="FF8B0361"/>
      <color rgb="FF37E4FB"/>
      <color rgb="FF8E0047"/>
      <color rgb="FFCC0066"/>
      <color rgb="FFBF276C"/>
    </mruColors>
  </colors>
  <extLst>
    <ext xmlns:x14="http://schemas.microsoft.com/office/spreadsheetml/2009/9/main" uri="{46F421CA-312F-682f-3DD2-61675219B42D}">
      <x14:dxfs count="3">
        <dxf>
          <font>
            <color theme="1"/>
          </font>
          <fill>
            <patternFill>
              <bgColor theme="0"/>
            </patternFill>
          </fill>
        </dxf>
        <dxf>
          <font>
            <color theme="1"/>
          </font>
          <fill>
            <patternFill>
              <bgColor rgb="FF8B0361"/>
            </patternFill>
          </fill>
        </dxf>
        <dxf>
          <font>
            <color theme="1"/>
          </font>
          <fill>
            <patternFill>
              <bgColor theme="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powerPivotData" Target="model/item.data"/><Relationship Id="rId18" Type="http://schemas.openxmlformats.org/officeDocument/2006/relationships/customXml" Target="../customXml/item4.xml"/><Relationship Id="rId26" Type="http://schemas.openxmlformats.org/officeDocument/2006/relationships/customXml" Target="../customXml/item12.xml"/><Relationship Id="rId3" Type="http://schemas.openxmlformats.org/officeDocument/2006/relationships/worksheet" Target="worksheets/sheet3.xml"/><Relationship Id="rId21" Type="http://schemas.openxmlformats.org/officeDocument/2006/relationships/customXml" Target="../customXml/item7.xml"/><Relationship Id="rId7" Type="http://schemas.microsoft.com/office/2007/relationships/slicerCache" Target="slicerCaches/slicerCache1.xml"/><Relationship Id="rId12" Type="http://schemas.openxmlformats.org/officeDocument/2006/relationships/sharedStrings" Target="sharedStrings.xml"/><Relationship Id="rId17" Type="http://schemas.openxmlformats.org/officeDocument/2006/relationships/customXml" Target="../customXml/item3.xml"/><Relationship Id="rId25" Type="http://schemas.openxmlformats.org/officeDocument/2006/relationships/customXml" Target="../customXml/item11.xml"/><Relationship Id="rId2" Type="http://schemas.openxmlformats.org/officeDocument/2006/relationships/worksheet" Target="worksheets/sheet2.xml"/><Relationship Id="rId16" Type="http://schemas.openxmlformats.org/officeDocument/2006/relationships/customXml" Target="../customXml/item2.xml"/><Relationship Id="rId20" Type="http://schemas.openxmlformats.org/officeDocument/2006/relationships/customXml" Target="../customXml/item6.xml"/><Relationship Id="rId29"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24" Type="http://schemas.openxmlformats.org/officeDocument/2006/relationships/customXml" Target="../customXml/item10.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customXml" Target="../customXml/item1.xml"/><Relationship Id="rId23" Type="http://schemas.openxmlformats.org/officeDocument/2006/relationships/customXml" Target="../customXml/item9.xml"/><Relationship Id="rId28" Type="http://schemas.openxmlformats.org/officeDocument/2006/relationships/customXml" Target="../customXml/item14.xml"/><Relationship Id="rId10" Type="http://schemas.openxmlformats.org/officeDocument/2006/relationships/connections" Target="connections.xml"/><Relationship Id="rId19" Type="http://schemas.openxmlformats.org/officeDocument/2006/relationships/customXml" Target="../customXml/item5.xml"/><Relationship Id="rId31" Type="http://schemas.openxmlformats.org/officeDocument/2006/relationships/customXml" Target="../customXml/item17.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 Id="rId22" Type="http://schemas.openxmlformats.org/officeDocument/2006/relationships/customXml" Target="../customXml/item8.xml"/><Relationship Id="rId27" Type="http://schemas.openxmlformats.org/officeDocument/2006/relationships/customXml" Target="../customXml/item13.xml"/><Relationship Id="rId30" Type="http://schemas.openxmlformats.org/officeDocument/2006/relationships/customXml" Target="../customXml/item1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Tables!PivotTable2</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Tables'!$W$6</c:f>
              <c:strCache>
                <c:ptCount val="1"/>
                <c:pt idx="0">
                  <c:v>Total</c:v>
                </c:pt>
              </c:strCache>
            </c:strRef>
          </c:tx>
          <c:spPr>
            <a:solidFill>
              <a:schemeClr val="bg1"/>
            </a:solidFill>
            <a:ln>
              <a:noFill/>
            </a:ln>
            <a:effectLst/>
          </c:spPr>
          <c:invertIfNegative val="0"/>
          <c:cat>
            <c:strRef>
              <c:f>'Pivot Tables'!$V$7:$V$12</c:f>
              <c:strCache>
                <c:ptCount val="5"/>
                <c:pt idx="0">
                  <c:v>2015</c:v>
                </c:pt>
                <c:pt idx="1">
                  <c:v>2016</c:v>
                </c:pt>
                <c:pt idx="2">
                  <c:v>2017</c:v>
                </c:pt>
                <c:pt idx="3">
                  <c:v>2018</c:v>
                </c:pt>
                <c:pt idx="4">
                  <c:v>2019</c:v>
                </c:pt>
              </c:strCache>
            </c:strRef>
          </c:cat>
          <c:val>
            <c:numRef>
              <c:f>'Pivot Tables'!$W$7:$W$12</c:f>
              <c:numCache>
                <c:formatCode>General</c:formatCode>
                <c:ptCount val="5"/>
                <c:pt idx="0">
                  <c:v>923.64150984644323</c:v>
                </c:pt>
                <c:pt idx="1">
                  <c:v>923.47986732589743</c:v>
                </c:pt>
                <c:pt idx="2">
                  <c:v>923.71641112035513</c:v>
                </c:pt>
                <c:pt idx="3">
                  <c:v>923.93790776369042</c:v>
                </c:pt>
                <c:pt idx="4">
                  <c:v>924.18089582107984</c:v>
                </c:pt>
              </c:numCache>
            </c:numRef>
          </c:val>
          <c:extLst>
            <c:ext xmlns:c16="http://schemas.microsoft.com/office/drawing/2014/chart" uri="{C3380CC4-5D6E-409C-BE32-E72D297353CC}">
              <c16:uniqueId val="{00000000-6F7C-4F91-AD7D-DFF4573992EF}"/>
            </c:ext>
          </c:extLst>
        </c:ser>
        <c:dLbls>
          <c:showLegendKey val="0"/>
          <c:showVal val="0"/>
          <c:showCatName val="0"/>
          <c:showSerName val="0"/>
          <c:showPercent val="0"/>
          <c:showBubbleSize val="0"/>
        </c:dLbls>
        <c:gapWidth val="219"/>
        <c:overlap val="-27"/>
        <c:axId val="1841144896"/>
        <c:axId val="1841153632"/>
      </c:barChart>
      <c:catAx>
        <c:axId val="1841144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841153632"/>
        <c:crosses val="autoZero"/>
        <c:auto val="1"/>
        <c:lblAlgn val="ctr"/>
        <c:lblOffset val="100"/>
        <c:noMultiLvlLbl val="0"/>
      </c:catAx>
      <c:valAx>
        <c:axId val="18411536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8411448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Tables!PivotTable15</c:name>
    <c:fmtId val="4"/>
  </c:pivotSource>
  <c:chart>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636320990621813"/>
          <c:y val="3.5256401358671169E-2"/>
          <c:w val="0.76240541578644128"/>
          <c:h val="0.89039019523768548"/>
        </c:manualLayout>
      </c:layout>
      <c:barChart>
        <c:barDir val="col"/>
        <c:grouping val="clustered"/>
        <c:varyColors val="0"/>
        <c:ser>
          <c:idx val="0"/>
          <c:order val="0"/>
          <c:tx>
            <c:strRef>
              <c:f>'Pivot Tables'!$O$6</c:f>
              <c:strCache>
                <c:ptCount val="1"/>
                <c:pt idx="0">
                  <c:v>No. of Births</c:v>
                </c:pt>
              </c:strCache>
            </c:strRef>
          </c:tx>
          <c:spPr>
            <a:solidFill>
              <a:schemeClr val="bg1"/>
            </a:solidFill>
            <a:ln>
              <a:noFill/>
            </a:ln>
            <a:effectLst/>
          </c:spPr>
          <c:invertIfNegative val="0"/>
          <c:cat>
            <c:strRef>
              <c:f>'Pivot Tables'!$N$7:$N$12</c:f>
              <c:strCache>
                <c:ptCount val="5"/>
                <c:pt idx="0">
                  <c:v>2015</c:v>
                </c:pt>
                <c:pt idx="1">
                  <c:v>2016</c:v>
                </c:pt>
                <c:pt idx="2">
                  <c:v>2017</c:v>
                </c:pt>
                <c:pt idx="3">
                  <c:v>2018</c:v>
                </c:pt>
                <c:pt idx="4">
                  <c:v>2019</c:v>
                </c:pt>
              </c:strCache>
            </c:strRef>
          </c:cat>
          <c:val>
            <c:numRef>
              <c:f>'Pivot Tables'!$O$7:$O$12</c:f>
              <c:numCache>
                <c:formatCode>General</c:formatCode>
                <c:ptCount val="5"/>
                <c:pt idx="0">
                  <c:v>24813844</c:v>
                </c:pt>
                <c:pt idx="1">
                  <c:v>24656980</c:v>
                </c:pt>
                <c:pt idx="2">
                  <c:v>24497462</c:v>
                </c:pt>
                <c:pt idx="3">
                  <c:v>24346991</c:v>
                </c:pt>
                <c:pt idx="4">
                  <c:v>24322245</c:v>
                </c:pt>
              </c:numCache>
            </c:numRef>
          </c:val>
          <c:extLst>
            <c:ext xmlns:c16="http://schemas.microsoft.com/office/drawing/2014/chart" uri="{C3380CC4-5D6E-409C-BE32-E72D297353CC}">
              <c16:uniqueId val="{00000000-A7C9-4873-873B-7B75C975FA38}"/>
            </c:ext>
          </c:extLst>
        </c:ser>
        <c:dLbls>
          <c:showLegendKey val="0"/>
          <c:showVal val="0"/>
          <c:showCatName val="0"/>
          <c:showSerName val="0"/>
          <c:showPercent val="0"/>
          <c:showBubbleSize val="0"/>
        </c:dLbls>
        <c:gapWidth val="219"/>
        <c:overlap val="-27"/>
        <c:axId val="1257183440"/>
        <c:axId val="1257183024"/>
      </c:barChart>
      <c:lineChart>
        <c:grouping val="standard"/>
        <c:varyColors val="0"/>
        <c:ser>
          <c:idx val="1"/>
          <c:order val="1"/>
          <c:tx>
            <c:strRef>
              <c:f>'Pivot Tables'!$P$6</c:f>
              <c:strCache>
                <c:ptCount val="1"/>
                <c:pt idx="0">
                  <c:v>Average of Birth Rates</c:v>
                </c:pt>
              </c:strCache>
            </c:strRef>
          </c:tx>
          <c:spPr>
            <a:ln w="28575" cap="rnd">
              <a:solidFill>
                <a:srgbClr val="FF0000"/>
              </a:solidFill>
              <a:round/>
            </a:ln>
            <a:effectLst/>
          </c:spPr>
          <c:marker>
            <c:symbol val="none"/>
          </c:marker>
          <c:cat>
            <c:strRef>
              <c:f>'Pivot Tables'!$N$7:$N$12</c:f>
              <c:strCache>
                <c:ptCount val="5"/>
                <c:pt idx="0">
                  <c:v>2015</c:v>
                </c:pt>
                <c:pt idx="1">
                  <c:v>2016</c:v>
                </c:pt>
                <c:pt idx="2">
                  <c:v>2017</c:v>
                </c:pt>
                <c:pt idx="3">
                  <c:v>2018</c:v>
                </c:pt>
                <c:pt idx="4">
                  <c:v>2019</c:v>
                </c:pt>
              </c:strCache>
            </c:strRef>
          </c:cat>
          <c:val>
            <c:numRef>
              <c:f>'Pivot Tables'!$P$7:$P$12</c:f>
              <c:numCache>
                <c:formatCode>General</c:formatCode>
                <c:ptCount val="5"/>
                <c:pt idx="0">
                  <c:v>18.944000131532377</c:v>
                </c:pt>
                <c:pt idx="1">
                  <c:v>18.61593172238161</c:v>
                </c:pt>
                <c:pt idx="2">
                  <c:v>18.300003987423729</c:v>
                </c:pt>
                <c:pt idx="3">
                  <c:v>18.000003714299588</c:v>
                </c:pt>
                <c:pt idx="4">
                  <c:v>17.800006544996918</c:v>
                </c:pt>
              </c:numCache>
            </c:numRef>
          </c:val>
          <c:smooth val="0"/>
          <c:extLst>
            <c:ext xmlns:c16="http://schemas.microsoft.com/office/drawing/2014/chart" uri="{C3380CC4-5D6E-409C-BE32-E72D297353CC}">
              <c16:uniqueId val="{00000001-A7C9-4873-873B-7B75C975FA38}"/>
            </c:ext>
          </c:extLst>
        </c:ser>
        <c:dLbls>
          <c:showLegendKey val="0"/>
          <c:showVal val="0"/>
          <c:showCatName val="0"/>
          <c:showSerName val="0"/>
          <c:showPercent val="0"/>
          <c:showBubbleSize val="0"/>
        </c:dLbls>
        <c:marker val="1"/>
        <c:smooth val="0"/>
        <c:axId val="1257185936"/>
        <c:axId val="1257185520"/>
      </c:lineChart>
      <c:catAx>
        <c:axId val="1257183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57183024"/>
        <c:crosses val="autoZero"/>
        <c:auto val="1"/>
        <c:lblAlgn val="ctr"/>
        <c:lblOffset val="100"/>
        <c:noMultiLvlLbl val="0"/>
      </c:catAx>
      <c:valAx>
        <c:axId val="125718302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57183440"/>
        <c:crosses val="autoZero"/>
        <c:crossBetween val="between"/>
      </c:valAx>
      <c:valAx>
        <c:axId val="125718552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57185936"/>
        <c:crosses val="max"/>
        <c:crossBetween val="between"/>
      </c:valAx>
      <c:catAx>
        <c:axId val="1257185936"/>
        <c:scaling>
          <c:orientation val="minMax"/>
        </c:scaling>
        <c:delete val="1"/>
        <c:axPos val="b"/>
        <c:numFmt formatCode="General" sourceLinked="1"/>
        <c:majorTickMark val="out"/>
        <c:minorTickMark val="none"/>
        <c:tickLblPos val="nextTo"/>
        <c:crossAx val="1257185520"/>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Tables!PivotTable16</c:name>
    <c:fmtId val="4"/>
  </c:pivotSource>
  <c:chart>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88928483912475"/>
          <c:y val="3.5336350455654274E-2"/>
          <c:w val="0.74134537062177575"/>
          <c:h val="0.89014163881747421"/>
        </c:manualLayout>
      </c:layout>
      <c:barChart>
        <c:barDir val="col"/>
        <c:grouping val="clustered"/>
        <c:varyColors val="0"/>
        <c:ser>
          <c:idx val="0"/>
          <c:order val="0"/>
          <c:tx>
            <c:strRef>
              <c:f>'Pivot Tables'!$S$6</c:f>
              <c:strCache>
                <c:ptCount val="1"/>
                <c:pt idx="0">
                  <c:v>No. of Deaths</c:v>
                </c:pt>
              </c:strCache>
            </c:strRef>
          </c:tx>
          <c:spPr>
            <a:solidFill>
              <a:schemeClr val="bg1"/>
            </a:solidFill>
            <a:ln>
              <a:noFill/>
            </a:ln>
            <a:effectLst/>
          </c:spPr>
          <c:invertIfNegative val="0"/>
          <c:cat>
            <c:strRef>
              <c:f>'Pivot Tables'!$R$7:$R$12</c:f>
              <c:strCache>
                <c:ptCount val="5"/>
                <c:pt idx="0">
                  <c:v>2015</c:v>
                </c:pt>
                <c:pt idx="1">
                  <c:v>2016</c:v>
                </c:pt>
                <c:pt idx="2">
                  <c:v>2017</c:v>
                </c:pt>
                <c:pt idx="3">
                  <c:v>2018</c:v>
                </c:pt>
                <c:pt idx="4">
                  <c:v>2019</c:v>
                </c:pt>
              </c:strCache>
            </c:strRef>
          </c:cat>
          <c:val>
            <c:numRef>
              <c:f>'Pivot Tables'!$S$7:$S$12</c:f>
              <c:numCache>
                <c:formatCode>General</c:formatCode>
                <c:ptCount val="5"/>
                <c:pt idx="0">
                  <c:v>9619556</c:v>
                </c:pt>
                <c:pt idx="1">
                  <c:v>9588436</c:v>
                </c:pt>
                <c:pt idx="2">
                  <c:v>9697245</c:v>
                </c:pt>
                <c:pt idx="3">
                  <c:v>9779373</c:v>
                </c:pt>
                <c:pt idx="4">
                  <c:v>9933857</c:v>
                </c:pt>
              </c:numCache>
            </c:numRef>
          </c:val>
          <c:extLst>
            <c:ext xmlns:c16="http://schemas.microsoft.com/office/drawing/2014/chart" uri="{C3380CC4-5D6E-409C-BE32-E72D297353CC}">
              <c16:uniqueId val="{00000000-BD16-42BF-A92C-2DED897CB535}"/>
            </c:ext>
          </c:extLst>
        </c:ser>
        <c:dLbls>
          <c:showLegendKey val="0"/>
          <c:showVal val="0"/>
          <c:showCatName val="0"/>
          <c:showSerName val="0"/>
          <c:showPercent val="0"/>
          <c:showBubbleSize val="0"/>
        </c:dLbls>
        <c:gapWidth val="219"/>
        <c:overlap val="-27"/>
        <c:axId val="1184487136"/>
        <c:axId val="1184487968"/>
      </c:barChart>
      <c:lineChart>
        <c:grouping val="standard"/>
        <c:varyColors val="0"/>
        <c:ser>
          <c:idx val="1"/>
          <c:order val="1"/>
          <c:tx>
            <c:strRef>
              <c:f>'Pivot Tables'!$T$6</c:f>
              <c:strCache>
                <c:ptCount val="1"/>
                <c:pt idx="0">
                  <c:v>Average of Death rates</c:v>
                </c:pt>
              </c:strCache>
            </c:strRef>
          </c:tx>
          <c:spPr>
            <a:ln w="28575" cap="rnd">
              <a:solidFill>
                <a:srgbClr val="FF0000"/>
              </a:solidFill>
              <a:round/>
            </a:ln>
            <a:effectLst/>
          </c:spPr>
          <c:marker>
            <c:symbol val="none"/>
          </c:marker>
          <c:cat>
            <c:strRef>
              <c:f>'Pivot Tables'!$R$7:$R$12</c:f>
              <c:strCache>
                <c:ptCount val="5"/>
                <c:pt idx="0">
                  <c:v>2015</c:v>
                </c:pt>
                <c:pt idx="1">
                  <c:v>2016</c:v>
                </c:pt>
                <c:pt idx="2">
                  <c:v>2017</c:v>
                </c:pt>
                <c:pt idx="3">
                  <c:v>2018</c:v>
                </c:pt>
                <c:pt idx="4">
                  <c:v>2019</c:v>
                </c:pt>
              </c:strCache>
            </c:strRef>
          </c:cat>
          <c:val>
            <c:numRef>
              <c:f>'Pivot Tables'!$T$7:$T$12</c:f>
              <c:numCache>
                <c:formatCode>General</c:formatCode>
                <c:ptCount val="5"/>
                <c:pt idx="0">
                  <c:v>7.34399999166929</c:v>
                </c:pt>
                <c:pt idx="1">
                  <c:v>7.2392348900970767</c:v>
                </c:pt>
                <c:pt idx="2">
                  <c:v>7.244000303665123</c:v>
                </c:pt>
                <c:pt idx="3">
                  <c:v>7.2300002215272148</c:v>
                </c:pt>
                <c:pt idx="4">
                  <c:v>7.2699999369738872</c:v>
                </c:pt>
              </c:numCache>
            </c:numRef>
          </c:val>
          <c:smooth val="0"/>
          <c:extLst>
            <c:ext xmlns:c16="http://schemas.microsoft.com/office/drawing/2014/chart" uri="{C3380CC4-5D6E-409C-BE32-E72D297353CC}">
              <c16:uniqueId val="{00000001-BD16-42BF-A92C-2DED897CB535}"/>
            </c:ext>
          </c:extLst>
        </c:ser>
        <c:dLbls>
          <c:showLegendKey val="0"/>
          <c:showVal val="0"/>
          <c:showCatName val="0"/>
          <c:showSerName val="0"/>
          <c:showPercent val="0"/>
          <c:showBubbleSize val="0"/>
        </c:dLbls>
        <c:marker val="1"/>
        <c:smooth val="0"/>
        <c:axId val="1175411408"/>
        <c:axId val="1175415152"/>
      </c:lineChart>
      <c:catAx>
        <c:axId val="1184487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487968"/>
        <c:crosses val="autoZero"/>
        <c:auto val="1"/>
        <c:lblAlgn val="ctr"/>
        <c:lblOffset val="100"/>
        <c:noMultiLvlLbl val="0"/>
      </c:catAx>
      <c:valAx>
        <c:axId val="11844879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487136"/>
        <c:crosses val="autoZero"/>
        <c:crossBetween val="between"/>
      </c:valAx>
      <c:valAx>
        <c:axId val="117541515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75411408"/>
        <c:crosses val="max"/>
        <c:crossBetween val="between"/>
      </c:valAx>
      <c:catAx>
        <c:axId val="1175411408"/>
        <c:scaling>
          <c:orientation val="minMax"/>
        </c:scaling>
        <c:delete val="1"/>
        <c:axPos val="b"/>
        <c:numFmt formatCode="General" sourceLinked="1"/>
        <c:majorTickMark val="out"/>
        <c:minorTickMark val="none"/>
        <c:tickLblPos val="nextTo"/>
        <c:crossAx val="117541515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Tables!PivotTable13</c:name>
    <c:fmtId val="4"/>
  </c:pivotSource>
  <c:chart>
    <c:autoTitleDeleted val="0"/>
    <c:pivotFmts>
      <c:pivotFmt>
        <c:idx val="0"/>
        <c:spPr>
          <a:solidFill>
            <a:schemeClr val="accent6"/>
          </a:solidFill>
          <a:ln>
            <a:noFill/>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w="28575" cap="rnd">
            <a:solidFill>
              <a:schemeClr val="accent6"/>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w="28575" cap="rnd">
            <a:solidFill>
              <a:schemeClr val="accent6"/>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bg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rgbClr val="FF0000"/>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103871289726991E-2"/>
          <c:y val="4.3287038615013075E-2"/>
          <c:w val="0.91896128710273006"/>
          <c:h val="0.83741205143474717"/>
        </c:manualLayout>
      </c:layout>
      <c:lineChart>
        <c:grouping val="standard"/>
        <c:varyColors val="0"/>
        <c:ser>
          <c:idx val="0"/>
          <c:order val="0"/>
          <c:tx>
            <c:strRef>
              <c:f>'Pivot Tables'!$H$6</c:f>
              <c:strCache>
                <c:ptCount val="1"/>
                <c:pt idx="0">
                  <c:v>Sum of Male Population</c:v>
                </c:pt>
              </c:strCache>
            </c:strRef>
          </c:tx>
          <c:spPr>
            <a:ln w="28575" cap="rnd">
              <a:solidFill>
                <a:schemeClr val="bg1"/>
              </a:solidFill>
              <a:round/>
            </a:ln>
            <a:effectLst/>
          </c:spPr>
          <c:marker>
            <c:symbol val="circle"/>
            <c:size val="5"/>
            <c:spPr>
              <a:solidFill>
                <a:schemeClr val="accent6"/>
              </a:solidFill>
              <a:ln w="9525">
                <a:solidFill>
                  <a:schemeClr val="accent6"/>
                </a:solidFill>
              </a:ln>
              <a:effectLst/>
            </c:spPr>
          </c:marker>
          <c:cat>
            <c:strRef>
              <c:f>'Pivot Tables'!$G$7:$G$12</c:f>
              <c:strCache>
                <c:ptCount val="5"/>
                <c:pt idx="0">
                  <c:v>2015</c:v>
                </c:pt>
                <c:pt idx="1">
                  <c:v>2016</c:v>
                </c:pt>
                <c:pt idx="2">
                  <c:v>2017</c:v>
                </c:pt>
                <c:pt idx="3">
                  <c:v>2018</c:v>
                </c:pt>
                <c:pt idx="4">
                  <c:v>2019</c:v>
                </c:pt>
              </c:strCache>
            </c:strRef>
          </c:cat>
          <c:val>
            <c:numRef>
              <c:f>'Pivot Tables'!$H$7:$H$12</c:f>
              <c:numCache>
                <c:formatCode>General</c:formatCode>
                <c:ptCount val="5"/>
                <c:pt idx="0">
                  <c:v>680923338</c:v>
                </c:pt>
                <c:pt idx="1">
                  <c:v>688600701</c:v>
                </c:pt>
                <c:pt idx="2">
                  <c:v>695871193</c:v>
                </c:pt>
                <c:pt idx="3">
                  <c:v>703042612</c:v>
                </c:pt>
                <c:pt idx="4">
                  <c:v>710129572</c:v>
                </c:pt>
              </c:numCache>
            </c:numRef>
          </c:val>
          <c:smooth val="0"/>
          <c:extLst>
            <c:ext xmlns:c16="http://schemas.microsoft.com/office/drawing/2014/chart" uri="{C3380CC4-5D6E-409C-BE32-E72D297353CC}">
              <c16:uniqueId val="{00000000-29AA-4B92-8100-185E9668DE0F}"/>
            </c:ext>
          </c:extLst>
        </c:ser>
        <c:ser>
          <c:idx val="1"/>
          <c:order val="1"/>
          <c:tx>
            <c:strRef>
              <c:f>'Pivot Tables'!$I$6</c:f>
              <c:strCache>
                <c:ptCount val="1"/>
                <c:pt idx="0">
                  <c:v>Sum of Female Population</c:v>
                </c:pt>
              </c:strCache>
            </c:strRef>
          </c:tx>
          <c:spPr>
            <a:ln w="28575" cap="rnd">
              <a:solidFill>
                <a:srgbClr val="FF0000"/>
              </a:solidFill>
              <a:round/>
            </a:ln>
            <a:effectLst/>
          </c:spPr>
          <c:marker>
            <c:symbol val="circle"/>
            <c:size val="5"/>
            <c:spPr>
              <a:solidFill>
                <a:schemeClr val="accent5"/>
              </a:solidFill>
              <a:ln w="9525">
                <a:solidFill>
                  <a:schemeClr val="accent5"/>
                </a:solidFill>
              </a:ln>
              <a:effectLst/>
            </c:spPr>
          </c:marker>
          <c:cat>
            <c:strRef>
              <c:f>'Pivot Tables'!$G$7:$G$12</c:f>
              <c:strCache>
                <c:ptCount val="5"/>
                <c:pt idx="0">
                  <c:v>2015</c:v>
                </c:pt>
                <c:pt idx="1">
                  <c:v>2016</c:v>
                </c:pt>
                <c:pt idx="2">
                  <c:v>2017</c:v>
                </c:pt>
                <c:pt idx="3">
                  <c:v>2018</c:v>
                </c:pt>
                <c:pt idx="4">
                  <c:v>2019</c:v>
                </c:pt>
              </c:strCache>
            </c:strRef>
          </c:cat>
          <c:val>
            <c:numRef>
              <c:f>'Pivot Tables'!$I$7:$I$12</c:f>
              <c:numCache>
                <c:formatCode>General</c:formatCode>
                <c:ptCount val="5"/>
                <c:pt idx="0">
                  <c:v>628929060</c:v>
                </c:pt>
                <c:pt idx="1">
                  <c:v>635908884</c:v>
                </c:pt>
                <c:pt idx="2">
                  <c:v>642787641</c:v>
                </c:pt>
                <c:pt idx="3">
                  <c:v>649567720</c:v>
                </c:pt>
                <c:pt idx="4">
                  <c:v>656288184</c:v>
                </c:pt>
              </c:numCache>
            </c:numRef>
          </c:val>
          <c:smooth val="0"/>
          <c:extLst>
            <c:ext xmlns:c16="http://schemas.microsoft.com/office/drawing/2014/chart" uri="{C3380CC4-5D6E-409C-BE32-E72D297353CC}">
              <c16:uniqueId val="{00000001-29AA-4B92-8100-185E9668DE0F}"/>
            </c:ext>
          </c:extLst>
        </c:ser>
        <c:dLbls>
          <c:showLegendKey val="0"/>
          <c:showVal val="0"/>
          <c:showCatName val="0"/>
          <c:showSerName val="0"/>
          <c:showPercent val="0"/>
          <c:showBubbleSize val="0"/>
        </c:dLbls>
        <c:marker val="1"/>
        <c:smooth val="0"/>
        <c:axId val="821375728"/>
        <c:axId val="1172592480"/>
      </c:lineChart>
      <c:catAx>
        <c:axId val="821375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72592480"/>
        <c:crosses val="autoZero"/>
        <c:auto val="1"/>
        <c:lblAlgn val="ctr"/>
        <c:lblOffset val="100"/>
        <c:noMultiLvlLbl val="0"/>
      </c:catAx>
      <c:valAx>
        <c:axId val="117259248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21375728"/>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Tables!PivotTable12</c:name>
    <c:fmtId val="4"/>
  </c:pivotSource>
  <c:chart>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443161508319226"/>
          <c:y val="4.0982601868490134E-2"/>
          <c:w val="0.68056592797034388"/>
          <c:h val="0.84798106833867992"/>
        </c:manualLayout>
      </c:layout>
      <c:barChart>
        <c:barDir val="bar"/>
        <c:grouping val="stacked"/>
        <c:varyColors val="0"/>
        <c:ser>
          <c:idx val="0"/>
          <c:order val="0"/>
          <c:tx>
            <c:strRef>
              <c:f>'Pivot Tables'!$D$6</c:f>
              <c:strCache>
                <c:ptCount val="1"/>
                <c:pt idx="0">
                  <c:v>Sum of Female Population</c:v>
                </c:pt>
              </c:strCache>
            </c:strRef>
          </c:tx>
          <c:spPr>
            <a:solidFill>
              <a:schemeClr val="bg1"/>
            </a:solidFill>
            <a:ln>
              <a:noFill/>
            </a:ln>
            <a:effectLst/>
          </c:spPr>
          <c:invertIfNegative val="0"/>
          <c:cat>
            <c:strRef>
              <c:f>'Pivot Tables'!$C$7:$C$24</c:f>
              <c:strCache>
                <c:ptCount val="17"/>
                <c:pt idx="0">
                  <c:v>00-04 years</c:v>
                </c:pt>
                <c:pt idx="1">
                  <c:v>05-09 years</c:v>
                </c:pt>
                <c:pt idx="2">
                  <c:v>10-14 years</c:v>
                </c:pt>
                <c:pt idx="3">
                  <c:v>15-19 years</c:v>
                </c:pt>
                <c:pt idx="4">
                  <c:v>20-24 years</c:v>
                </c:pt>
                <c:pt idx="5">
                  <c:v>25-29 years</c:v>
                </c:pt>
                <c:pt idx="6">
                  <c:v>30-34 years</c:v>
                </c:pt>
                <c:pt idx="7">
                  <c:v>35-40 years</c:v>
                </c:pt>
                <c:pt idx="8">
                  <c:v>40-44 years</c:v>
                </c:pt>
                <c:pt idx="9">
                  <c:v>45-49 years</c:v>
                </c:pt>
                <c:pt idx="10">
                  <c:v>50-54 years</c:v>
                </c:pt>
                <c:pt idx="11">
                  <c:v>55-59 years</c:v>
                </c:pt>
                <c:pt idx="12">
                  <c:v>60-64 years</c:v>
                </c:pt>
                <c:pt idx="13">
                  <c:v>65-69 years</c:v>
                </c:pt>
                <c:pt idx="14">
                  <c:v>70-74 years</c:v>
                </c:pt>
                <c:pt idx="15">
                  <c:v>75-79 years</c:v>
                </c:pt>
                <c:pt idx="16">
                  <c:v>80+ years</c:v>
                </c:pt>
              </c:strCache>
            </c:strRef>
          </c:cat>
          <c:val>
            <c:numRef>
              <c:f>'Pivot Tables'!$D$7:$D$24</c:f>
              <c:numCache>
                <c:formatCode>General</c:formatCode>
                <c:ptCount val="17"/>
                <c:pt idx="0">
                  <c:v>55596970</c:v>
                </c:pt>
                <c:pt idx="1">
                  <c:v>57039427</c:v>
                </c:pt>
                <c:pt idx="2">
                  <c:v>60172728</c:v>
                </c:pt>
                <c:pt idx="3">
                  <c:v>59164382</c:v>
                </c:pt>
                <c:pt idx="4">
                  <c:v>57319089</c:v>
                </c:pt>
                <c:pt idx="5">
                  <c:v>55079640</c:v>
                </c:pt>
                <c:pt idx="6">
                  <c:v>52817775</c:v>
                </c:pt>
                <c:pt idx="7">
                  <c:v>48499876</c:v>
                </c:pt>
                <c:pt idx="8">
                  <c:v>42635961</c:v>
                </c:pt>
                <c:pt idx="9">
                  <c:v>37840217</c:v>
                </c:pt>
                <c:pt idx="10">
                  <c:v>32947978</c:v>
                </c:pt>
                <c:pt idx="11">
                  <c:v>28445217</c:v>
                </c:pt>
                <c:pt idx="12">
                  <c:v>23591764</c:v>
                </c:pt>
                <c:pt idx="13">
                  <c:v>18288098</c:v>
                </c:pt>
                <c:pt idx="14">
                  <c:v>11861814</c:v>
                </c:pt>
                <c:pt idx="15">
                  <c:v>7794418</c:v>
                </c:pt>
                <c:pt idx="16">
                  <c:v>7192830</c:v>
                </c:pt>
              </c:numCache>
            </c:numRef>
          </c:val>
          <c:extLst>
            <c:ext xmlns:c16="http://schemas.microsoft.com/office/drawing/2014/chart" uri="{C3380CC4-5D6E-409C-BE32-E72D297353CC}">
              <c16:uniqueId val="{00000001-C4C6-40F0-BBAA-1914C60FC101}"/>
            </c:ext>
          </c:extLst>
        </c:ser>
        <c:ser>
          <c:idx val="1"/>
          <c:order val="1"/>
          <c:tx>
            <c:strRef>
              <c:f>'Pivot Tables'!$E$6</c:f>
              <c:strCache>
                <c:ptCount val="1"/>
                <c:pt idx="0">
                  <c:v>Sum of Male Population</c:v>
                </c:pt>
              </c:strCache>
            </c:strRef>
          </c:tx>
          <c:spPr>
            <a:solidFill>
              <a:srgbClr val="FF0000"/>
            </a:solidFill>
            <a:ln>
              <a:noFill/>
            </a:ln>
            <a:effectLst/>
          </c:spPr>
          <c:invertIfNegative val="0"/>
          <c:cat>
            <c:strRef>
              <c:f>'Pivot Tables'!$C$7:$C$24</c:f>
              <c:strCache>
                <c:ptCount val="17"/>
                <c:pt idx="0">
                  <c:v>00-04 years</c:v>
                </c:pt>
                <c:pt idx="1">
                  <c:v>05-09 years</c:v>
                </c:pt>
                <c:pt idx="2">
                  <c:v>10-14 years</c:v>
                </c:pt>
                <c:pt idx="3">
                  <c:v>15-19 years</c:v>
                </c:pt>
                <c:pt idx="4">
                  <c:v>20-24 years</c:v>
                </c:pt>
                <c:pt idx="5">
                  <c:v>25-29 years</c:v>
                </c:pt>
                <c:pt idx="6">
                  <c:v>30-34 years</c:v>
                </c:pt>
                <c:pt idx="7">
                  <c:v>35-40 years</c:v>
                </c:pt>
                <c:pt idx="8">
                  <c:v>40-44 years</c:v>
                </c:pt>
                <c:pt idx="9">
                  <c:v>45-49 years</c:v>
                </c:pt>
                <c:pt idx="10">
                  <c:v>50-54 years</c:v>
                </c:pt>
                <c:pt idx="11">
                  <c:v>55-59 years</c:v>
                </c:pt>
                <c:pt idx="12">
                  <c:v>60-64 years</c:v>
                </c:pt>
                <c:pt idx="13">
                  <c:v>65-69 years</c:v>
                </c:pt>
                <c:pt idx="14">
                  <c:v>70-74 years</c:v>
                </c:pt>
                <c:pt idx="15">
                  <c:v>75-79 years</c:v>
                </c:pt>
                <c:pt idx="16">
                  <c:v>80+ years</c:v>
                </c:pt>
              </c:strCache>
            </c:strRef>
          </c:cat>
          <c:val>
            <c:numRef>
              <c:f>'Pivot Tables'!$E$7:$E$24</c:f>
              <c:numCache>
                <c:formatCode>General</c:formatCode>
                <c:ptCount val="17"/>
                <c:pt idx="0">
                  <c:v>-61184852</c:v>
                </c:pt>
                <c:pt idx="1">
                  <c:v>-62910580</c:v>
                </c:pt>
                <c:pt idx="2">
                  <c:v>-66812183</c:v>
                </c:pt>
                <c:pt idx="3">
                  <c:v>-66525044</c:v>
                </c:pt>
                <c:pt idx="4">
                  <c:v>-64478247</c:v>
                </c:pt>
                <c:pt idx="5">
                  <c:v>-61604481</c:v>
                </c:pt>
                <c:pt idx="6">
                  <c:v>-58243202</c:v>
                </c:pt>
                <c:pt idx="7">
                  <c:v>-52838830</c:v>
                </c:pt>
                <c:pt idx="8">
                  <c:v>-45523908</c:v>
                </c:pt>
                <c:pt idx="9">
                  <c:v>-39881404</c:v>
                </c:pt>
                <c:pt idx="10">
                  <c:v>-34484803</c:v>
                </c:pt>
                <c:pt idx="11">
                  <c:v>-29500956</c:v>
                </c:pt>
                <c:pt idx="12">
                  <c:v>-24129236</c:v>
                </c:pt>
                <c:pt idx="13">
                  <c:v>-18287177</c:v>
                </c:pt>
                <c:pt idx="14">
                  <c:v>-10982591</c:v>
                </c:pt>
                <c:pt idx="15">
                  <c:v>-6861862</c:v>
                </c:pt>
                <c:pt idx="16">
                  <c:v>-5880216</c:v>
                </c:pt>
              </c:numCache>
            </c:numRef>
          </c:val>
          <c:extLst>
            <c:ext xmlns:c16="http://schemas.microsoft.com/office/drawing/2014/chart" uri="{C3380CC4-5D6E-409C-BE32-E72D297353CC}">
              <c16:uniqueId val="{00000002-C4C6-40F0-BBAA-1914C60FC101}"/>
            </c:ext>
          </c:extLst>
        </c:ser>
        <c:dLbls>
          <c:showLegendKey val="0"/>
          <c:showVal val="0"/>
          <c:showCatName val="0"/>
          <c:showSerName val="0"/>
          <c:showPercent val="0"/>
          <c:showBubbleSize val="0"/>
        </c:dLbls>
        <c:gapWidth val="150"/>
        <c:overlap val="100"/>
        <c:axId val="1174288064"/>
        <c:axId val="1174287232"/>
      </c:barChart>
      <c:catAx>
        <c:axId val="1174288064"/>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74287232"/>
        <c:crosses val="autoZero"/>
        <c:auto val="1"/>
        <c:lblAlgn val="ctr"/>
        <c:lblOffset val="100"/>
        <c:noMultiLvlLbl val="0"/>
      </c:catAx>
      <c:valAx>
        <c:axId val="11742872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74288064"/>
        <c:crosses val="autoZero"/>
        <c:crossBetween val="between"/>
        <c:dispUnits>
          <c:builtInUnit val="millions"/>
          <c:dispUnitsLbl>
            <c:layout>
              <c:manualLayout>
                <c:xMode val="edge"/>
                <c:yMode val="edge"/>
                <c:x val="6.383195335119192E-2"/>
                <c:y val="0.91999734210438888"/>
              </c:manualLayout>
            </c:layout>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700">
                      <a:solidFill>
                        <a:schemeClr val="bg1"/>
                      </a:solidFill>
                    </a:rPr>
                    <a:t>Millions</a:t>
                  </a:r>
                </a:p>
              </c:rich>
            </c:tx>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[project.xlsm]Pivot Tables!PivotTable14</c:name>
    <c:fmtId val="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dLbl>
          <c:idx val="0"/>
          <c:showLegendKey val="0"/>
          <c:showVal val="0"/>
          <c:showCatName val="0"/>
          <c:showSerName val="0"/>
          <c:showPercent val="1"/>
          <c:showBubbleSize val="0"/>
          <c:extLst>
            <c:ext xmlns:c15="http://schemas.microsoft.com/office/drawing/2012/chart" uri="{CE6537A1-D6FC-4f65-9D91-7224C49458BB}"/>
          </c:extLst>
        </c:dLbl>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dLbl>
          <c:idx val="0"/>
          <c:showLegendKey val="0"/>
          <c:showVal val="0"/>
          <c:showCatName val="0"/>
          <c:showSerName val="0"/>
          <c:showPercent val="1"/>
          <c:showBubbleSize val="0"/>
          <c:extLst>
            <c:ext xmlns:c15="http://schemas.microsoft.com/office/drawing/2012/chart" uri="{CE6537A1-D6FC-4f65-9D91-7224C49458BB}"/>
          </c:extLst>
        </c:dLbl>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spPr>
          <a:solidFill>
            <a:schemeClr val="accent6"/>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6"/>
        <c:spPr>
          <a:solidFill>
            <a:schemeClr val="accent6">
              <a:shade val="37000"/>
            </a:schemeClr>
          </a:solidFill>
          <a:ln>
            <a:noFill/>
          </a:ln>
          <a:effectLst/>
          <a:scene3d>
            <a:camera prst="orthographicFront"/>
            <a:lightRig rig="brightRoom" dir="t"/>
          </a:scene3d>
          <a:sp3d prstMaterial="flat">
            <a:bevelT w="50800" h="101600" prst="angle"/>
            <a:contourClr>
              <a:srgbClr val="000000"/>
            </a:contourClr>
          </a:sp3d>
        </c:spPr>
      </c:pivotFmt>
      <c:pivotFmt>
        <c:idx val="57"/>
        <c:spPr>
          <a:solidFill>
            <a:schemeClr val="accent6">
              <a:shade val="45000"/>
            </a:schemeClr>
          </a:solidFill>
          <a:ln>
            <a:noFill/>
          </a:ln>
          <a:effectLst/>
          <a:scene3d>
            <a:camera prst="orthographicFront"/>
            <a:lightRig rig="brightRoom" dir="t"/>
          </a:scene3d>
          <a:sp3d prstMaterial="flat">
            <a:bevelT w="50800" h="101600" prst="angle"/>
            <a:contourClr>
              <a:srgbClr val="000000"/>
            </a:contourClr>
          </a:sp3d>
        </c:spPr>
      </c:pivotFmt>
      <c:pivotFmt>
        <c:idx val="58"/>
        <c:spPr>
          <a:solidFill>
            <a:schemeClr val="accent6">
              <a:shade val="53000"/>
            </a:schemeClr>
          </a:solidFill>
          <a:ln>
            <a:noFill/>
          </a:ln>
          <a:effectLst/>
          <a:scene3d>
            <a:camera prst="orthographicFront"/>
            <a:lightRig rig="brightRoom" dir="t"/>
          </a:scene3d>
          <a:sp3d prstMaterial="flat">
            <a:bevelT w="50800" h="101600" prst="angle"/>
            <a:contourClr>
              <a:srgbClr val="000000"/>
            </a:contourClr>
          </a:sp3d>
        </c:spPr>
      </c:pivotFmt>
      <c:pivotFmt>
        <c:idx val="59"/>
        <c:spPr>
          <a:solidFill>
            <a:schemeClr val="accent6">
              <a:shade val="61000"/>
            </a:schemeClr>
          </a:solidFill>
          <a:ln>
            <a:noFill/>
          </a:ln>
          <a:effectLst/>
          <a:scene3d>
            <a:camera prst="orthographicFront"/>
            <a:lightRig rig="brightRoom" dir="t"/>
          </a:scene3d>
          <a:sp3d prstMaterial="flat">
            <a:bevelT w="50800" h="101600" prst="angle"/>
            <a:contourClr>
              <a:srgbClr val="000000"/>
            </a:contourClr>
          </a:sp3d>
        </c:spPr>
      </c:pivotFmt>
      <c:pivotFmt>
        <c:idx val="60"/>
        <c:spPr>
          <a:solidFill>
            <a:schemeClr val="accent6">
              <a:shade val="68000"/>
            </a:schemeClr>
          </a:solidFill>
          <a:ln>
            <a:noFill/>
          </a:ln>
          <a:effectLst/>
          <a:scene3d>
            <a:camera prst="orthographicFront"/>
            <a:lightRig rig="brightRoom" dir="t"/>
          </a:scene3d>
          <a:sp3d prstMaterial="flat">
            <a:bevelT w="50800" h="101600" prst="angle"/>
            <a:contourClr>
              <a:srgbClr val="000000"/>
            </a:contourClr>
          </a:sp3d>
        </c:spPr>
      </c:pivotFmt>
      <c:pivotFmt>
        <c:idx val="61"/>
        <c:spPr>
          <a:solidFill>
            <a:schemeClr val="accent6">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62"/>
        <c:spPr>
          <a:solidFill>
            <a:schemeClr val="accent6">
              <a:shade val="84000"/>
            </a:schemeClr>
          </a:solidFill>
          <a:ln>
            <a:noFill/>
          </a:ln>
          <a:effectLst/>
          <a:scene3d>
            <a:camera prst="orthographicFront"/>
            <a:lightRig rig="brightRoom" dir="t"/>
          </a:scene3d>
          <a:sp3d prstMaterial="flat">
            <a:bevelT w="50800" h="101600" prst="angle"/>
            <a:contourClr>
              <a:srgbClr val="000000"/>
            </a:contourClr>
          </a:sp3d>
        </c:spPr>
      </c:pivotFmt>
      <c:pivotFmt>
        <c:idx val="63"/>
        <c:spPr>
          <a:solidFill>
            <a:schemeClr val="accent6">
              <a:shade val="92000"/>
            </a:schemeClr>
          </a:solidFill>
          <a:ln>
            <a:noFill/>
          </a:ln>
          <a:effectLst/>
          <a:scene3d>
            <a:camera prst="orthographicFront"/>
            <a:lightRig rig="brightRoom" dir="t"/>
          </a:scene3d>
          <a:sp3d prstMaterial="flat">
            <a:bevelT w="50800" h="101600" prst="angle"/>
            <a:contourClr>
              <a:srgbClr val="000000"/>
            </a:contourClr>
          </a:sp3d>
        </c:spPr>
      </c:pivotFmt>
      <c:pivotFmt>
        <c:idx val="64"/>
        <c:spPr>
          <a:solidFill>
            <a:schemeClr val="accent6"/>
          </a:solidFill>
          <a:ln>
            <a:noFill/>
          </a:ln>
          <a:effectLst/>
          <a:scene3d>
            <a:camera prst="orthographicFront"/>
            <a:lightRig rig="brightRoom" dir="t"/>
          </a:scene3d>
          <a:sp3d prstMaterial="flat">
            <a:bevelT w="50800" h="101600" prst="angle"/>
            <a:contourClr>
              <a:srgbClr val="000000"/>
            </a:contourClr>
          </a:sp3d>
        </c:spPr>
      </c:pivotFmt>
      <c:pivotFmt>
        <c:idx val="65"/>
        <c:spPr>
          <a:solidFill>
            <a:schemeClr val="accent6">
              <a:tint val="93000"/>
            </a:schemeClr>
          </a:solidFill>
          <a:ln>
            <a:noFill/>
          </a:ln>
          <a:effectLst/>
          <a:scene3d>
            <a:camera prst="orthographicFront"/>
            <a:lightRig rig="brightRoom" dir="t"/>
          </a:scene3d>
          <a:sp3d prstMaterial="flat">
            <a:bevelT w="50800" h="101600" prst="angle"/>
            <a:contourClr>
              <a:srgbClr val="000000"/>
            </a:contourClr>
          </a:sp3d>
        </c:spPr>
      </c:pivotFmt>
      <c:pivotFmt>
        <c:idx val="66"/>
        <c:spPr>
          <a:solidFill>
            <a:schemeClr val="accent6">
              <a:tint val="85000"/>
            </a:schemeClr>
          </a:solidFill>
          <a:ln>
            <a:noFill/>
          </a:ln>
          <a:effectLst/>
          <a:scene3d>
            <a:camera prst="orthographicFront"/>
            <a:lightRig rig="brightRoom" dir="t"/>
          </a:scene3d>
          <a:sp3d prstMaterial="flat">
            <a:bevelT w="50800" h="101600" prst="angle"/>
            <a:contourClr>
              <a:srgbClr val="000000"/>
            </a:contourClr>
          </a:sp3d>
        </c:spPr>
      </c:pivotFmt>
      <c:pivotFmt>
        <c:idx val="67"/>
        <c:spPr>
          <a:solidFill>
            <a:schemeClr val="accent6">
              <a:tint val="77000"/>
            </a:schemeClr>
          </a:solidFill>
          <a:ln>
            <a:noFill/>
          </a:ln>
          <a:effectLst/>
          <a:scene3d>
            <a:camera prst="orthographicFront"/>
            <a:lightRig rig="brightRoom" dir="t"/>
          </a:scene3d>
          <a:sp3d prstMaterial="flat">
            <a:bevelT w="50800" h="101600" prst="angle"/>
            <a:contourClr>
              <a:srgbClr val="000000"/>
            </a:contourClr>
          </a:sp3d>
        </c:spPr>
      </c:pivotFmt>
      <c:pivotFmt>
        <c:idx val="68"/>
        <c:spPr>
          <a:solidFill>
            <a:schemeClr val="accent6">
              <a:tint val="69000"/>
            </a:schemeClr>
          </a:solidFill>
          <a:ln>
            <a:noFill/>
          </a:ln>
          <a:effectLst/>
          <a:scene3d>
            <a:camera prst="orthographicFront"/>
            <a:lightRig rig="brightRoom" dir="t"/>
          </a:scene3d>
          <a:sp3d prstMaterial="flat">
            <a:bevelT w="50800" h="101600" prst="angle"/>
            <a:contourClr>
              <a:srgbClr val="000000"/>
            </a:contourClr>
          </a:sp3d>
        </c:spPr>
      </c:pivotFmt>
      <c:pivotFmt>
        <c:idx val="69"/>
        <c:spPr>
          <a:solidFill>
            <a:schemeClr val="accent6">
              <a:tint val="62000"/>
            </a:schemeClr>
          </a:solidFill>
          <a:ln>
            <a:noFill/>
          </a:ln>
          <a:effectLst/>
          <a:scene3d>
            <a:camera prst="orthographicFront"/>
            <a:lightRig rig="brightRoom" dir="t"/>
          </a:scene3d>
          <a:sp3d prstMaterial="flat">
            <a:bevelT w="50800" h="101600" prst="angle"/>
            <a:contourClr>
              <a:srgbClr val="000000"/>
            </a:contourClr>
          </a:sp3d>
        </c:spPr>
      </c:pivotFmt>
      <c:pivotFmt>
        <c:idx val="70"/>
        <c:spPr>
          <a:solidFill>
            <a:schemeClr val="accent6">
              <a:tint val="54000"/>
            </a:schemeClr>
          </a:solidFill>
          <a:ln>
            <a:noFill/>
          </a:ln>
          <a:effectLst/>
          <a:scene3d>
            <a:camera prst="orthographicFront"/>
            <a:lightRig rig="brightRoom" dir="t"/>
          </a:scene3d>
          <a:sp3d prstMaterial="flat">
            <a:bevelT w="50800" h="101600" prst="angle"/>
            <a:contourClr>
              <a:srgbClr val="000000"/>
            </a:contourClr>
          </a:sp3d>
        </c:spPr>
      </c:pivotFmt>
      <c:pivotFmt>
        <c:idx val="71"/>
        <c:spPr>
          <a:solidFill>
            <a:schemeClr val="accent6">
              <a:tint val="46000"/>
            </a:schemeClr>
          </a:solidFill>
          <a:ln>
            <a:noFill/>
          </a:ln>
          <a:effectLst/>
          <a:scene3d>
            <a:camera prst="orthographicFront"/>
            <a:lightRig rig="brightRoom" dir="t"/>
          </a:scene3d>
          <a:sp3d prstMaterial="flat">
            <a:bevelT w="50800" h="101600" prst="angle"/>
            <a:contourClr>
              <a:srgbClr val="000000"/>
            </a:contourClr>
          </a:sp3d>
        </c:spPr>
      </c:pivotFmt>
      <c:pivotFmt>
        <c:idx val="72"/>
        <c:spPr>
          <a:solidFill>
            <a:schemeClr val="accent6">
              <a:tint val="38000"/>
            </a:schemeClr>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6.6093650301930124E-2"/>
          <c:y val="0.19601119924566382"/>
          <c:w val="0.60495741899113997"/>
          <c:h val="0.82214377169280806"/>
        </c:manualLayout>
      </c:layout>
      <c:doughnutChart>
        <c:varyColors val="1"/>
        <c:ser>
          <c:idx val="0"/>
          <c:order val="0"/>
          <c:tx>
            <c:strRef>
              <c:f>'Pivot Tables'!$L$6</c:f>
              <c:strCache>
                <c:ptCount val="1"/>
                <c:pt idx="0">
                  <c:v>Total</c:v>
                </c:pt>
              </c:strCache>
            </c:strRef>
          </c:tx>
          <c:explosion val="1"/>
          <c:dPt>
            <c:idx val="0"/>
            <c:bubble3D val="0"/>
            <c:spPr>
              <a:solidFill>
                <a:schemeClr val="accent6">
                  <a:shade val="37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6CB7-4767-978E-24AD708CB6EC}"/>
              </c:ext>
            </c:extLst>
          </c:dPt>
          <c:dPt>
            <c:idx val="1"/>
            <c:bubble3D val="0"/>
            <c:spPr>
              <a:solidFill>
                <a:schemeClr val="accent6">
                  <a:shade val="45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6CB7-4767-978E-24AD708CB6EC}"/>
              </c:ext>
            </c:extLst>
          </c:dPt>
          <c:dPt>
            <c:idx val="2"/>
            <c:bubble3D val="0"/>
            <c:spPr>
              <a:solidFill>
                <a:schemeClr val="accent6">
                  <a:shade val="53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6CB7-4767-978E-24AD708CB6EC}"/>
              </c:ext>
            </c:extLst>
          </c:dPt>
          <c:dPt>
            <c:idx val="3"/>
            <c:bubble3D val="0"/>
            <c:spPr>
              <a:solidFill>
                <a:schemeClr val="accent6">
                  <a:shade val="61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6CB7-4767-978E-24AD708CB6EC}"/>
              </c:ext>
            </c:extLst>
          </c:dPt>
          <c:dPt>
            <c:idx val="4"/>
            <c:bubble3D val="0"/>
            <c:spPr>
              <a:solidFill>
                <a:schemeClr val="accent6">
                  <a:shade val="68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6CB7-4767-978E-24AD708CB6EC}"/>
              </c:ext>
            </c:extLst>
          </c:dPt>
          <c:dPt>
            <c:idx val="5"/>
            <c:bubble3D val="0"/>
            <c:spPr>
              <a:solidFill>
                <a:schemeClr val="accent6">
                  <a:shade val="76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6CB7-4767-978E-24AD708CB6EC}"/>
              </c:ext>
            </c:extLst>
          </c:dPt>
          <c:dPt>
            <c:idx val="6"/>
            <c:bubble3D val="0"/>
            <c:spPr>
              <a:solidFill>
                <a:schemeClr val="accent6">
                  <a:shade val="84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6CB7-4767-978E-24AD708CB6EC}"/>
              </c:ext>
            </c:extLst>
          </c:dPt>
          <c:dPt>
            <c:idx val="7"/>
            <c:bubble3D val="0"/>
            <c:spPr>
              <a:solidFill>
                <a:schemeClr val="accent6">
                  <a:shade val="92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6CB7-4767-978E-24AD708CB6EC}"/>
              </c:ext>
            </c:extLst>
          </c:dPt>
          <c:dPt>
            <c:idx val="8"/>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6CB7-4767-978E-24AD708CB6EC}"/>
              </c:ext>
            </c:extLst>
          </c:dPt>
          <c:dPt>
            <c:idx val="9"/>
            <c:bubble3D val="0"/>
            <c:spPr>
              <a:solidFill>
                <a:schemeClr val="accent6">
                  <a:tint val="93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6CB7-4767-978E-24AD708CB6EC}"/>
              </c:ext>
            </c:extLst>
          </c:dPt>
          <c:dPt>
            <c:idx val="10"/>
            <c:bubble3D val="0"/>
            <c:spPr>
              <a:solidFill>
                <a:schemeClr val="accent6">
                  <a:tint val="85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6CB7-4767-978E-24AD708CB6EC}"/>
              </c:ext>
            </c:extLst>
          </c:dPt>
          <c:dPt>
            <c:idx val="11"/>
            <c:bubble3D val="0"/>
            <c:spPr>
              <a:solidFill>
                <a:schemeClr val="accent6">
                  <a:tint val="77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7-6CB7-4767-978E-24AD708CB6EC}"/>
              </c:ext>
            </c:extLst>
          </c:dPt>
          <c:dPt>
            <c:idx val="12"/>
            <c:bubble3D val="0"/>
            <c:spPr>
              <a:solidFill>
                <a:schemeClr val="accent6">
                  <a:tint val="69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9-6CB7-4767-978E-24AD708CB6EC}"/>
              </c:ext>
            </c:extLst>
          </c:dPt>
          <c:dPt>
            <c:idx val="13"/>
            <c:bubble3D val="0"/>
            <c:spPr>
              <a:solidFill>
                <a:schemeClr val="accent6">
                  <a:tint val="62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B-6CB7-4767-978E-24AD708CB6EC}"/>
              </c:ext>
            </c:extLst>
          </c:dPt>
          <c:dPt>
            <c:idx val="14"/>
            <c:bubble3D val="0"/>
            <c:spPr>
              <a:solidFill>
                <a:schemeClr val="accent6">
                  <a:tint val="54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D-6CB7-4767-978E-24AD708CB6EC}"/>
              </c:ext>
            </c:extLst>
          </c:dPt>
          <c:dPt>
            <c:idx val="15"/>
            <c:bubble3D val="0"/>
            <c:spPr>
              <a:solidFill>
                <a:schemeClr val="accent6">
                  <a:tint val="46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F-6CB7-4767-978E-24AD708CB6EC}"/>
              </c:ext>
            </c:extLst>
          </c:dPt>
          <c:dPt>
            <c:idx val="16"/>
            <c:bubble3D val="0"/>
            <c:spPr>
              <a:solidFill>
                <a:schemeClr val="accent6">
                  <a:tint val="38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1-6CB7-4767-978E-24AD708CB6E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Tables'!$K$7:$K$24</c:f>
              <c:strCache>
                <c:ptCount val="17"/>
                <c:pt idx="0">
                  <c:v>00-04 years</c:v>
                </c:pt>
                <c:pt idx="1">
                  <c:v>05-09 years</c:v>
                </c:pt>
                <c:pt idx="2">
                  <c:v>10-14 years</c:v>
                </c:pt>
                <c:pt idx="3">
                  <c:v>15-19 years</c:v>
                </c:pt>
                <c:pt idx="4">
                  <c:v>20-24 years</c:v>
                </c:pt>
                <c:pt idx="5">
                  <c:v>25-29 years</c:v>
                </c:pt>
                <c:pt idx="6">
                  <c:v>30-34 years</c:v>
                </c:pt>
                <c:pt idx="7">
                  <c:v>35-40 years</c:v>
                </c:pt>
                <c:pt idx="8">
                  <c:v>40-44 years</c:v>
                </c:pt>
                <c:pt idx="9">
                  <c:v>45-49 years</c:v>
                </c:pt>
                <c:pt idx="10">
                  <c:v>50-54 years</c:v>
                </c:pt>
                <c:pt idx="11">
                  <c:v>55-59 years</c:v>
                </c:pt>
                <c:pt idx="12">
                  <c:v>60-64 years</c:v>
                </c:pt>
                <c:pt idx="13">
                  <c:v>65-69 years</c:v>
                </c:pt>
                <c:pt idx="14">
                  <c:v>70-74 years</c:v>
                </c:pt>
                <c:pt idx="15">
                  <c:v>75-79 years</c:v>
                </c:pt>
                <c:pt idx="16">
                  <c:v>80+ years</c:v>
                </c:pt>
              </c:strCache>
            </c:strRef>
          </c:cat>
          <c:val>
            <c:numRef>
              <c:f>'Pivot Tables'!$L$7:$L$24</c:f>
              <c:numCache>
                <c:formatCode>General</c:formatCode>
                <c:ptCount val="17"/>
                <c:pt idx="0">
                  <c:v>116781822</c:v>
                </c:pt>
                <c:pt idx="1">
                  <c:v>119950007</c:v>
                </c:pt>
                <c:pt idx="2">
                  <c:v>126984911</c:v>
                </c:pt>
                <c:pt idx="3">
                  <c:v>125689426</c:v>
                </c:pt>
                <c:pt idx="4">
                  <c:v>121797336</c:v>
                </c:pt>
                <c:pt idx="5">
                  <c:v>116684121</c:v>
                </c:pt>
                <c:pt idx="6">
                  <c:v>111060977</c:v>
                </c:pt>
                <c:pt idx="7">
                  <c:v>101338706</c:v>
                </c:pt>
                <c:pt idx="8">
                  <c:v>88159869</c:v>
                </c:pt>
                <c:pt idx="9">
                  <c:v>77721621</c:v>
                </c:pt>
                <c:pt idx="10">
                  <c:v>67432781</c:v>
                </c:pt>
                <c:pt idx="11">
                  <c:v>57946173</c:v>
                </c:pt>
                <c:pt idx="12">
                  <c:v>47721000</c:v>
                </c:pt>
                <c:pt idx="13">
                  <c:v>36575275</c:v>
                </c:pt>
                <c:pt idx="14">
                  <c:v>22844405</c:v>
                </c:pt>
                <c:pt idx="15">
                  <c:v>14656280</c:v>
                </c:pt>
                <c:pt idx="16">
                  <c:v>13073046</c:v>
                </c:pt>
              </c:numCache>
            </c:numRef>
          </c:val>
          <c:extLst>
            <c:ext xmlns:c16="http://schemas.microsoft.com/office/drawing/2014/chart" uri="{C3380CC4-5D6E-409C-BE32-E72D297353CC}">
              <c16:uniqueId val="{00000022-6CB7-4767-978E-24AD708CB6EC}"/>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71764951620210837"/>
          <c:y val="0.10504462328682145"/>
          <c:w val="0.2710051903120006"/>
          <c:h val="0.894955376713178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Tables!PivotTable12</c:name>
    <c:fmtId val="2"/>
  </c:pivotSource>
  <c:chart>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288021289005542"/>
          <c:y val="4.2438271604938273E-2"/>
          <c:w val="0.6043835666375037"/>
          <c:h val="0.84798106833867992"/>
        </c:manualLayout>
      </c:layout>
      <c:barChart>
        <c:barDir val="bar"/>
        <c:grouping val="stacked"/>
        <c:varyColors val="0"/>
        <c:ser>
          <c:idx val="0"/>
          <c:order val="0"/>
          <c:tx>
            <c:strRef>
              <c:f>'Pivot Tables'!$D$6</c:f>
              <c:strCache>
                <c:ptCount val="1"/>
                <c:pt idx="0">
                  <c:v>Sum of Female Population</c:v>
                </c:pt>
              </c:strCache>
            </c:strRef>
          </c:tx>
          <c:spPr>
            <a:solidFill>
              <a:schemeClr val="accent6"/>
            </a:solidFill>
            <a:ln>
              <a:noFill/>
            </a:ln>
            <a:effectLst/>
          </c:spPr>
          <c:invertIfNegative val="0"/>
          <c:cat>
            <c:strRef>
              <c:f>'Pivot Tables'!$C$7:$C$24</c:f>
              <c:strCache>
                <c:ptCount val="17"/>
                <c:pt idx="0">
                  <c:v>00-04 years</c:v>
                </c:pt>
                <c:pt idx="1">
                  <c:v>05-09 years</c:v>
                </c:pt>
                <c:pt idx="2">
                  <c:v>10-14 years</c:v>
                </c:pt>
                <c:pt idx="3">
                  <c:v>15-19 years</c:v>
                </c:pt>
                <c:pt idx="4">
                  <c:v>20-24 years</c:v>
                </c:pt>
                <c:pt idx="5">
                  <c:v>25-29 years</c:v>
                </c:pt>
                <c:pt idx="6">
                  <c:v>30-34 years</c:v>
                </c:pt>
                <c:pt idx="7">
                  <c:v>35-40 years</c:v>
                </c:pt>
                <c:pt idx="8">
                  <c:v>40-44 years</c:v>
                </c:pt>
                <c:pt idx="9">
                  <c:v>45-49 years</c:v>
                </c:pt>
                <c:pt idx="10">
                  <c:v>50-54 years</c:v>
                </c:pt>
                <c:pt idx="11">
                  <c:v>55-59 years</c:v>
                </c:pt>
                <c:pt idx="12">
                  <c:v>60-64 years</c:v>
                </c:pt>
                <c:pt idx="13">
                  <c:v>65-69 years</c:v>
                </c:pt>
                <c:pt idx="14">
                  <c:v>70-74 years</c:v>
                </c:pt>
                <c:pt idx="15">
                  <c:v>75-79 years</c:v>
                </c:pt>
                <c:pt idx="16">
                  <c:v>80+ years</c:v>
                </c:pt>
              </c:strCache>
            </c:strRef>
          </c:cat>
          <c:val>
            <c:numRef>
              <c:f>'Pivot Tables'!$D$7:$D$24</c:f>
              <c:numCache>
                <c:formatCode>General</c:formatCode>
                <c:ptCount val="17"/>
                <c:pt idx="0">
                  <c:v>55596970</c:v>
                </c:pt>
                <c:pt idx="1">
                  <c:v>57039427</c:v>
                </c:pt>
                <c:pt idx="2">
                  <c:v>60172728</c:v>
                </c:pt>
                <c:pt idx="3">
                  <c:v>59164382</c:v>
                </c:pt>
                <c:pt idx="4">
                  <c:v>57319089</c:v>
                </c:pt>
                <c:pt idx="5">
                  <c:v>55079640</c:v>
                </c:pt>
                <c:pt idx="6">
                  <c:v>52817775</c:v>
                </c:pt>
                <c:pt idx="7">
                  <c:v>48499876</c:v>
                </c:pt>
                <c:pt idx="8">
                  <c:v>42635961</c:v>
                </c:pt>
                <c:pt idx="9">
                  <c:v>37840217</c:v>
                </c:pt>
                <c:pt idx="10">
                  <c:v>32947978</c:v>
                </c:pt>
                <c:pt idx="11">
                  <c:v>28445217</c:v>
                </c:pt>
                <c:pt idx="12">
                  <c:v>23591764</c:v>
                </c:pt>
                <c:pt idx="13">
                  <c:v>18288098</c:v>
                </c:pt>
                <c:pt idx="14">
                  <c:v>11861814</c:v>
                </c:pt>
                <c:pt idx="15">
                  <c:v>7794418</c:v>
                </c:pt>
                <c:pt idx="16">
                  <c:v>7192830</c:v>
                </c:pt>
              </c:numCache>
            </c:numRef>
          </c:val>
          <c:extLst>
            <c:ext xmlns:c16="http://schemas.microsoft.com/office/drawing/2014/chart" uri="{C3380CC4-5D6E-409C-BE32-E72D297353CC}">
              <c16:uniqueId val="{00000000-FFD7-4B04-B296-EC3E76FCA7CD}"/>
            </c:ext>
          </c:extLst>
        </c:ser>
        <c:ser>
          <c:idx val="1"/>
          <c:order val="1"/>
          <c:tx>
            <c:strRef>
              <c:f>'Pivot Tables'!$E$6</c:f>
              <c:strCache>
                <c:ptCount val="1"/>
                <c:pt idx="0">
                  <c:v>Sum of Male Population</c:v>
                </c:pt>
              </c:strCache>
            </c:strRef>
          </c:tx>
          <c:spPr>
            <a:solidFill>
              <a:schemeClr val="accent5"/>
            </a:solidFill>
            <a:ln>
              <a:noFill/>
            </a:ln>
            <a:effectLst/>
          </c:spPr>
          <c:invertIfNegative val="0"/>
          <c:cat>
            <c:strRef>
              <c:f>'Pivot Tables'!$C$7:$C$24</c:f>
              <c:strCache>
                <c:ptCount val="17"/>
                <c:pt idx="0">
                  <c:v>00-04 years</c:v>
                </c:pt>
                <c:pt idx="1">
                  <c:v>05-09 years</c:v>
                </c:pt>
                <c:pt idx="2">
                  <c:v>10-14 years</c:v>
                </c:pt>
                <c:pt idx="3">
                  <c:v>15-19 years</c:v>
                </c:pt>
                <c:pt idx="4">
                  <c:v>20-24 years</c:v>
                </c:pt>
                <c:pt idx="5">
                  <c:v>25-29 years</c:v>
                </c:pt>
                <c:pt idx="6">
                  <c:v>30-34 years</c:v>
                </c:pt>
                <c:pt idx="7">
                  <c:v>35-40 years</c:v>
                </c:pt>
                <c:pt idx="8">
                  <c:v>40-44 years</c:v>
                </c:pt>
                <c:pt idx="9">
                  <c:v>45-49 years</c:v>
                </c:pt>
                <c:pt idx="10">
                  <c:v>50-54 years</c:v>
                </c:pt>
                <c:pt idx="11">
                  <c:v>55-59 years</c:v>
                </c:pt>
                <c:pt idx="12">
                  <c:v>60-64 years</c:v>
                </c:pt>
                <c:pt idx="13">
                  <c:v>65-69 years</c:v>
                </c:pt>
                <c:pt idx="14">
                  <c:v>70-74 years</c:v>
                </c:pt>
                <c:pt idx="15">
                  <c:v>75-79 years</c:v>
                </c:pt>
                <c:pt idx="16">
                  <c:v>80+ years</c:v>
                </c:pt>
              </c:strCache>
            </c:strRef>
          </c:cat>
          <c:val>
            <c:numRef>
              <c:f>'Pivot Tables'!$E$7:$E$24</c:f>
              <c:numCache>
                <c:formatCode>General</c:formatCode>
                <c:ptCount val="17"/>
                <c:pt idx="0">
                  <c:v>-61184852</c:v>
                </c:pt>
                <c:pt idx="1">
                  <c:v>-62910580</c:v>
                </c:pt>
                <c:pt idx="2">
                  <c:v>-66812183</c:v>
                </c:pt>
                <c:pt idx="3">
                  <c:v>-66525044</c:v>
                </c:pt>
                <c:pt idx="4">
                  <c:v>-64478247</c:v>
                </c:pt>
                <c:pt idx="5">
                  <c:v>-61604481</c:v>
                </c:pt>
                <c:pt idx="6">
                  <c:v>-58243202</c:v>
                </c:pt>
                <c:pt idx="7">
                  <c:v>-52838830</c:v>
                </c:pt>
                <c:pt idx="8">
                  <c:v>-45523908</c:v>
                </c:pt>
                <c:pt idx="9">
                  <c:v>-39881404</c:v>
                </c:pt>
                <c:pt idx="10">
                  <c:v>-34484803</c:v>
                </c:pt>
                <c:pt idx="11">
                  <c:v>-29500956</c:v>
                </c:pt>
                <c:pt idx="12">
                  <c:v>-24129236</c:v>
                </c:pt>
                <c:pt idx="13">
                  <c:v>-18287177</c:v>
                </c:pt>
                <c:pt idx="14">
                  <c:v>-10982591</c:v>
                </c:pt>
                <c:pt idx="15">
                  <c:v>-6861862</c:v>
                </c:pt>
                <c:pt idx="16">
                  <c:v>-5880216</c:v>
                </c:pt>
              </c:numCache>
            </c:numRef>
          </c:val>
          <c:extLst>
            <c:ext xmlns:c16="http://schemas.microsoft.com/office/drawing/2014/chart" uri="{C3380CC4-5D6E-409C-BE32-E72D297353CC}">
              <c16:uniqueId val="{00000002-FFD7-4B04-B296-EC3E76FCA7CD}"/>
            </c:ext>
          </c:extLst>
        </c:ser>
        <c:dLbls>
          <c:showLegendKey val="0"/>
          <c:showVal val="0"/>
          <c:showCatName val="0"/>
          <c:showSerName val="0"/>
          <c:showPercent val="0"/>
          <c:showBubbleSize val="0"/>
        </c:dLbls>
        <c:gapWidth val="150"/>
        <c:overlap val="100"/>
        <c:axId val="1174288064"/>
        <c:axId val="1174287232"/>
      </c:barChart>
      <c:catAx>
        <c:axId val="1174288064"/>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4287232"/>
        <c:crosses val="autoZero"/>
        <c:auto val="1"/>
        <c:lblAlgn val="ctr"/>
        <c:lblOffset val="100"/>
        <c:noMultiLvlLbl val="0"/>
      </c:catAx>
      <c:valAx>
        <c:axId val="11742872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4288064"/>
        <c:crosses val="autoZero"/>
        <c:crossBetween val="between"/>
        <c:dispUnits>
          <c:builtInUnit val="millions"/>
          <c:dispUnitsLbl>
            <c:layout>
              <c:manualLayout>
                <c:xMode val="edge"/>
                <c:yMode val="edge"/>
                <c:x val="0.78548137212015179"/>
                <c:y val="0.8989003110722269"/>
              </c:manualLayout>
            </c:layout>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r"/>
      <c:layout>
        <c:manualLayout>
          <c:xMode val="edge"/>
          <c:yMode val="edge"/>
          <c:x val="0.7801341498979294"/>
          <c:y val="0.43489537766112568"/>
          <c:w val="0.21986585010207058"/>
          <c:h val="0.277742229589722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Tables!PivotTable13</c:name>
    <c:fmtId val="2"/>
  </c:pivotSource>
  <c:chart>
    <c:autoTitleDeleted val="0"/>
    <c:pivotFmts>
      <c:pivotFmt>
        <c:idx val="0"/>
        <c:spPr>
          <a:solidFill>
            <a:schemeClr val="accent6"/>
          </a:solidFill>
          <a:ln>
            <a:noFill/>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6"/>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506785869430168"/>
          <c:y val="4.3287038615013075E-2"/>
          <c:w val="0.67430565569228551"/>
          <c:h val="0.86542347861707047"/>
        </c:manualLayout>
      </c:layout>
      <c:lineChart>
        <c:grouping val="standard"/>
        <c:varyColors val="0"/>
        <c:ser>
          <c:idx val="0"/>
          <c:order val="0"/>
          <c:tx>
            <c:strRef>
              <c:f>'Pivot Tables'!$H$6</c:f>
              <c:strCache>
                <c:ptCount val="1"/>
                <c:pt idx="0">
                  <c:v>Sum of Male Population</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'Pivot Tables'!$G$7:$G$12</c:f>
              <c:strCache>
                <c:ptCount val="5"/>
                <c:pt idx="0">
                  <c:v>2015</c:v>
                </c:pt>
                <c:pt idx="1">
                  <c:v>2016</c:v>
                </c:pt>
                <c:pt idx="2">
                  <c:v>2017</c:v>
                </c:pt>
                <c:pt idx="3">
                  <c:v>2018</c:v>
                </c:pt>
                <c:pt idx="4">
                  <c:v>2019</c:v>
                </c:pt>
              </c:strCache>
            </c:strRef>
          </c:cat>
          <c:val>
            <c:numRef>
              <c:f>'Pivot Tables'!$H$7:$H$12</c:f>
              <c:numCache>
                <c:formatCode>General</c:formatCode>
                <c:ptCount val="5"/>
                <c:pt idx="0">
                  <c:v>680923338</c:v>
                </c:pt>
                <c:pt idx="1">
                  <c:v>688600701</c:v>
                </c:pt>
                <c:pt idx="2">
                  <c:v>695871193</c:v>
                </c:pt>
                <c:pt idx="3">
                  <c:v>703042612</c:v>
                </c:pt>
                <c:pt idx="4">
                  <c:v>710129572</c:v>
                </c:pt>
              </c:numCache>
            </c:numRef>
          </c:val>
          <c:smooth val="0"/>
          <c:extLst>
            <c:ext xmlns:c16="http://schemas.microsoft.com/office/drawing/2014/chart" uri="{C3380CC4-5D6E-409C-BE32-E72D297353CC}">
              <c16:uniqueId val="{00000000-465F-4DBA-A878-CE7B5CF4E57D}"/>
            </c:ext>
          </c:extLst>
        </c:ser>
        <c:ser>
          <c:idx val="1"/>
          <c:order val="1"/>
          <c:tx>
            <c:strRef>
              <c:f>'Pivot Tables'!$I$6</c:f>
              <c:strCache>
                <c:ptCount val="1"/>
                <c:pt idx="0">
                  <c:v>Sum of Female Population</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'Pivot Tables'!$G$7:$G$12</c:f>
              <c:strCache>
                <c:ptCount val="5"/>
                <c:pt idx="0">
                  <c:v>2015</c:v>
                </c:pt>
                <c:pt idx="1">
                  <c:v>2016</c:v>
                </c:pt>
                <c:pt idx="2">
                  <c:v>2017</c:v>
                </c:pt>
                <c:pt idx="3">
                  <c:v>2018</c:v>
                </c:pt>
                <c:pt idx="4">
                  <c:v>2019</c:v>
                </c:pt>
              </c:strCache>
            </c:strRef>
          </c:cat>
          <c:val>
            <c:numRef>
              <c:f>'Pivot Tables'!$I$7:$I$12</c:f>
              <c:numCache>
                <c:formatCode>General</c:formatCode>
                <c:ptCount val="5"/>
                <c:pt idx="0">
                  <c:v>628929060</c:v>
                </c:pt>
                <c:pt idx="1">
                  <c:v>635908884</c:v>
                </c:pt>
                <c:pt idx="2">
                  <c:v>642787641</c:v>
                </c:pt>
                <c:pt idx="3">
                  <c:v>649567720</c:v>
                </c:pt>
                <c:pt idx="4">
                  <c:v>656288184</c:v>
                </c:pt>
              </c:numCache>
            </c:numRef>
          </c:val>
          <c:smooth val="0"/>
          <c:extLst>
            <c:ext xmlns:c16="http://schemas.microsoft.com/office/drawing/2014/chart" uri="{C3380CC4-5D6E-409C-BE32-E72D297353CC}">
              <c16:uniqueId val="{00000001-465F-4DBA-A878-CE7B5CF4E57D}"/>
            </c:ext>
          </c:extLst>
        </c:ser>
        <c:dLbls>
          <c:showLegendKey val="0"/>
          <c:showVal val="0"/>
          <c:showCatName val="0"/>
          <c:showSerName val="0"/>
          <c:showPercent val="0"/>
          <c:showBubbleSize val="0"/>
        </c:dLbls>
        <c:marker val="1"/>
        <c:smooth val="0"/>
        <c:axId val="821375728"/>
        <c:axId val="1172592480"/>
      </c:lineChart>
      <c:catAx>
        <c:axId val="821375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2592480"/>
        <c:crosses val="autoZero"/>
        <c:auto val="1"/>
        <c:lblAlgn val="ctr"/>
        <c:lblOffset val="100"/>
        <c:noMultiLvlLbl val="0"/>
      </c:catAx>
      <c:valAx>
        <c:axId val="117259248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375728"/>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r"/>
      <c:layout>
        <c:manualLayout>
          <c:xMode val="edge"/>
          <c:yMode val="edge"/>
          <c:x val="0.79591823038672882"/>
          <c:y val="0.44392298935268992"/>
          <c:w val="0.1902606336138371"/>
          <c:h val="0.272628709996672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[project.xlsm]Pivot Tables!PivotTable14</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spPr>
          <a:solidFill>
            <a:schemeClr val="accent6"/>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6">
              <a:shade val="37000"/>
            </a:schemeClr>
          </a:solidFill>
          <a:ln>
            <a:noFill/>
          </a:ln>
          <a:effectLst/>
          <a:scene3d>
            <a:camera prst="orthographicFront"/>
            <a:lightRig rig="brightRoom" dir="t"/>
          </a:scene3d>
          <a:sp3d prstMaterial="flat">
            <a:bevelT w="50800" h="101600" prst="angle"/>
            <a:contourClr>
              <a:srgbClr val="000000"/>
            </a:contourClr>
          </a:sp3d>
        </c:spPr>
      </c:pivotFmt>
      <c:pivotFmt>
        <c:idx val="21"/>
        <c:spPr>
          <a:solidFill>
            <a:schemeClr val="accent6">
              <a:shade val="45000"/>
            </a:schemeClr>
          </a:solidFill>
          <a:ln>
            <a:noFill/>
          </a:ln>
          <a:effectLst/>
          <a:scene3d>
            <a:camera prst="orthographicFront"/>
            <a:lightRig rig="brightRoom" dir="t"/>
          </a:scene3d>
          <a:sp3d prstMaterial="flat">
            <a:bevelT w="50800" h="101600" prst="angle"/>
            <a:contourClr>
              <a:srgbClr val="000000"/>
            </a:contourClr>
          </a:sp3d>
        </c:spPr>
      </c:pivotFmt>
      <c:pivotFmt>
        <c:idx val="22"/>
        <c:spPr>
          <a:solidFill>
            <a:schemeClr val="accent6">
              <a:shade val="53000"/>
            </a:schemeClr>
          </a:solidFill>
          <a:ln>
            <a:noFill/>
          </a:ln>
          <a:effectLst/>
          <a:scene3d>
            <a:camera prst="orthographicFront"/>
            <a:lightRig rig="brightRoom" dir="t"/>
          </a:scene3d>
          <a:sp3d prstMaterial="flat">
            <a:bevelT w="50800" h="101600" prst="angle"/>
            <a:contourClr>
              <a:srgbClr val="000000"/>
            </a:contourClr>
          </a:sp3d>
        </c:spPr>
      </c:pivotFmt>
      <c:pivotFmt>
        <c:idx val="23"/>
        <c:spPr>
          <a:solidFill>
            <a:schemeClr val="accent6">
              <a:shade val="61000"/>
            </a:schemeClr>
          </a:solidFill>
          <a:ln>
            <a:noFill/>
          </a:ln>
          <a:effectLst/>
          <a:scene3d>
            <a:camera prst="orthographicFront"/>
            <a:lightRig rig="brightRoom" dir="t"/>
          </a:scene3d>
          <a:sp3d prstMaterial="flat">
            <a:bevelT w="50800" h="101600" prst="angle"/>
            <a:contourClr>
              <a:srgbClr val="000000"/>
            </a:contourClr>
          </a:sp3d>
        </c:spPr>
      </c:pivotFmt>
      <c:pivotFmt>
        <c:idx val="24"/>
        <c:spPr>
          <a:solidFill>
            <a:schemeClr val="accent6">
              <a:shade val="68000"/>
            </a:schemeClr>
          </a:solidFill>
          <a:ln>
            <a:noFill/>
          </a:ln>
          <a:effectLst/>
          <a:scene3d>
            <a:camera prst="orthographicFront"/>
            <a:lightRig rig="brightRoom" dir="t"/>
          </a:scene3d>
          <a:sp3d prstMaterial="flat">
            <a:bevelT w="50800" h="101600" prst="angle"/>
            <a:contourClr>
              <a:srgbClr val="000000"/>
            </a:contourClr>
          </a:sp3d>
        </c:spPr>
      </c:pivotFmt>
      <c:pivotFmt>
        <c:idx val="25"/>
        <c:spPr>
          <a:solidFill>
            <a:schemeClr val="accent6">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26"/>
        <c:spPr>
          <a:solidFill>
            <a:schemeClr val="accent6">
              <a:shade val="84000"/>
            </a:schemeClr>
          </a:solidFill>
          <a:ln>
            <a:noFill/>
          </a:ln>
          <a:effectLst/>
          <a:scene3d>
            <a:camera prst="orthographicFront"/>
            <a:lightRig rig="brightRoom" dir="t"/>
          </a:scene3d>
          <a:sp3d prstMaterial="flat">
            <a:bevelT w="50800" h="101600" prst="angle"/>
            <a:contourClr>
              <a:srgbClr val="000000"/>
            </a:contourClr>
          </a:sp3d>
        </c:spPr>
      </c:pivotFmt>
      <c:pivotFmt>
        <c:idx val="27"/>
        <c:spPr>
          <a:solidFill>
            <a:schemeClr val="accent6">
              <a:shade val="92000"/>
            </a:schemeClr>
          </a:solidFill>
          <a:ln>
            <a:noFill/>
          </a:ln>
          <a:effectLst/>
          <a:scene3d>
            <a:camera prst="orthographicFront"/>
            <a:lightRig rig="brightRoom" dir="t"/>
          </a:scene3d>
          <a:sp3d prstMaterial="flat">
            <a:bevelT w="50800" h="101600" prst="angle"/>
            <a:contourClr>
              <a:srgbClr val="000000"/>
            </a:contourClr>
          </a:sp3d>
        </c:spPr>
      </c:pivotFmt>
      <c:pivotFmt>
        <c:idx val="28"/>
        <c:spPr>
          <a:solidFill>
            <a:schemeClr val="accent6"/>
          </a:solidFill>
          <a:ln>
            <a:noFill/>
          </a:ln>
          <a:effectLst/>
          <a:scene3d>
            <a:camera prst="orthographicFront"/>
            <a:lightRig rig="brightRoom" dir="t"/>
          </a:scene3d>
          <a:sp3d prstMaterial="flat">
            <a:bevelT w="50800" h="101600" prst="angle"/>
            <a:contourClr>
              <a:srgbClr val="000000"/>
            </a:contourClr>
          </a:sp3d>
        </c:spPr>
      </c:pivotFmt>
      <c:pivotFmt>
        <c:idx val="29"/>
        <c:spPr>
          <a:solidFill>
            <a:schemeClr val="accent6">
              <a:tint val="93000"/>
            </a:schemeClr>
          </a:solidFill>
          <a:ln>
            <a:noFill/>
          </a:ln>
          <a:effectLst/>
          <a:scene3d>
            <a:camera prst="orthographicFront"/>
            <a:lightRig rig="brightRoom" dir="t"/>
          </a:scene3d>
          <a:sp3d prstMaterial="flat">
            <a:bevelT w="50800" h="101600" prst="angle"/>
            <a:contourClr>
              <a:srgbClr val="000000"/>
            </a:contourClr>
          </a:sp3d>
        </c:spPr>
      </c:pivotFmt>
      <c:pivotFmt>
        <c:idx val="30"/>
        <c:spPr>
          <a:solidFill>
            <a:schemeClr val="accent6">
              <a:tint val="85000"/>
            </a:schemeClr>
          </a:solidFill>
          <a:ln>
            <a:noFill/>
          </a:ln>
          <a:effectLst/>
          <a:scene3d>
            <a:camera prst="orthographicFront"/>
            <a:lightRig rig="brightRoom" dir="t"/>
          </a:scene3d>
          <a:sp3d prstMaterial="flat">
            <a:bevelT w="50800" h="101600" prst="angle"/>
            <a:contourClr>
              <a:srgbClr val="000000"/>
            </a:contourClr>
          </a:sp3d>
        </c:spPr>
      </c:pivotFmt>
      <c:pivotFmt>
        <c:idx val="31"/>
        <c:spPr>
          <a:solidFill>
            <a:schemeClr val="accent6">
              <a:tint val="77000"/>
            </a:schemeClr>
          </a:solidFill>
          <a:ln>
            <a:noFill/>
          </a:ln>
          <a:effectLst/>
          <a:scene3d>
            <a:camera prst="orthographicFront"/>
            <a:lightRig rig="brightRoom" dir="t"/>
          </a:scene3d>
          <a:sp3d prstMaterial="flat">
            <a:bevelT w="50800" h="101600" prst="angle"/>
            <a:contourClr>
              <a:srgbClr val="000000"/>
            </a:contourClr>
          </a:sp3d>
        </c:spPr>
      </c:pivotFmt>
      <c:pivotFmt>
        <c:idx val="32"/>
        <c:spPr>
          <a:solidFill>
            <a:schemeClr val="accent6">
              <a:tint val="69000"/>
            </a:schemeClr>
          </a:solidFill>
          <a:ln>
            <a:noFill/>
          </a:ln>
          <a:effectLst/>
          <a:scene3d>
            <a:camera prst="orthographicFront"/>
            <a:lightRig rig="brightRoom" dir="t"/>
          </a:scene3d>
          <a:sp3d prstMaterial="flat">
            <a:bevelT w="50800" h="101600" prst="angle"/>
            <a:contourClr>
              <a:srgbClr val="000000"/>
            </a:contourClr>
          </a:sp3d>
        </c:spPr>
      </c:pivotFmt>
      <c:pivotFmt>
        <c:idx val="33"/>
        <c:spPr>
          <a:solidFill>
            <a:schemeClr val="accent6">
              <a:tint val="62000"/>
            </a:schemeClr>
          </a:solidFill>
          <a:ln>
            <a:noFill/>
          </a:ln>
          <a:effectLst/>
          <a:scene3d>
            <a:camera prst="orthographicFront"/>
            <a:lightRig rig="brightRoom" dir="t"/>
          </a:scene3d>
          <a:sp3d prstMaterial="flat">
            <a:bevelT w="50800" h="101600" prst="angle"/>
            <a:contourClr>
              <a:srgbClr val="000000"/>
            </a:contourClr>
          </a:sp3d>
        </c:spPr>
      </c:pivotFmt>
      <c:pivotFmt>
        <c:idx val="34"/>
        <c:spPr>
          <a:solidFill>
            <a:schemeClr val="accent6">
              <a:tint val="54000"/>
            </a:schemeClr>
          </a:solidFill>
          <a:ln>
            <a:noFill/>
          </a:ln>
          <a:effectLst/>
          <a:scene3d>
            <a:camera prst="orthographicFront"/>
            <a:lightRig rig="brightRoom" dir="t"/>
          </a:scene3d>
          <a:sp3d prstMaterial="flat">
            <a:bevelT w="50800" h="101600" prst="angle"/>
            <a:contourClr>
              <a:srgbClr val="000000"/>
            </a:contourClr>
          </a:sp3d>
        </c:spPr>
      </c:pivotFmt>
      <c:pivotFmt>
        <c:idx val="35"/>
        <c:spPr>
          <a:solidFill>
            <a:schemeClr val="accent6">
              <a:tint val="46000"/>
            </a:schemeClr>
          </a:solidFill>
          <a:ln>
            <a:noFill/>
          </a:ln>
          <a:effectLst/>
          <a:scene3d>
            <a:camera prst="orthographicFront"/>
            <a:lightRig rig="brightRoom" dir="t"/>
          </a:scene3d>
          <a:sp3d prstMaterial="flat">
            <a:bevelT w="50800" h="101600" prst="angle"/>
            <a:contourClr>
              <a:srgbClr val="000000"/>
            </a:contourClr>
          </a:sp3d>
        </c:spPr>
      </c:pivotFmt>
      <c:pivotFmt>
        <c:idx val="36"/>
        <c:spPr>
          <a:solidFill>
            <a:schemeClr val="accent6">
              <a:tint val="38000"/>
            </a:schemeClr>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22631211723534558"/>
          <c:y val="0.11499312032382121"/>
          <c:w val="0.65726006124234471"/>
          <c:h val="0.76355969564261761"/>
        </c:manualLayout>
      </c:layout>
      <c:doughnutChart>
        <c:varyColors val="1"/>
        <c:ser>
          <c:idx val="0"/>
          <c:order val="0"/>
          <c:tx>
            <c:strRef>
              <c:f>'Pivot Tables'!$L$6</c:f>
              <c:strCache>
                <c:ptCount val="1"/>
                <c:pt idx="0">
                  <c:v>Total</c:v>
                </c:pt>
              </c:strCache>
            </c:strRef>
          </c:tx>
          <c:explosion val="1"/>
          <c:dPt>
            <c:idx val="0"/>
            <c:bubble3D val="0"/>
            <c:spPr>
              <a:solidFill>
                <a:schemeClr val="accent6">
                  <a:shade val="37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8770-44AE-8837-60D759EE102E}"/>
              </c:ext>
            </c:extLst>
          </c:dPt>
          <c:dPt>
            <c:idx val="1"/>
            <c:bubble3D val="0"/>
            <c:spPr>
              <a:solidFill>
                <a:schemeClr val="accent6">
                  <a:shade val="45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8770-44AE-8837-60D759EE102E}"/>
              </c:ext>
            </c:extLst>
          </c:dPt>
          <c:dPt>
            <c:idx val="2"/>
            <c:bubble3D val="0"/>
            <c:spPr>
              <a:solidFill>
                <a:schemeClr val="accent6">
                  <a:shade val="53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8770-44AE-8837-60D759EE102E}"/>
              </c:ext>
            </c:extLst>
          </c:dPt>
          <c:dPt>
            <c:idx val="3"/>
            <c:bubble3D val="0"/>
            <c:spPr>
              <a:solidFill>
                <a:schemeClr val="accent6">
                  <a:shade val="61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8770-44AE-8837-60D759EE102E}"/>
              </c:ext>
            </c:extLst>
          </c:dPt>
          <c:dPt>
            <c:idx val="4"/>
            <c:bubble3D val="0"/>
            <c:spPr>
              <a:solidFill>
                <a:schemeClr val="accent6">
                  <a:shade val="68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8770-44AE-8837-60D759EE102E}"/>
              </c:ext>
            </c:extLst>
          </c:dPt>
          <c:dPt>
            <c:idx val="5"/>
            <c:bubble3D val="0"/>
            <c:spPr>
              <a:solidFill>
                <a:schemeClr val="accent6">
                  <a:shade val="76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8770-44AE-8837-60D759EE102E}"/>
              </c:ext>
            </c:extLst>
          </c:dPt>
          <c:dPt>
            <c:idx val="6"/>
            <c:bubble3D val="0"/>
            <c:spPr>
              <a:solidFill>
                <a:schemeClr val="accent6">
                  <a:shade val="84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8770-44AE-8837-60D759EE102E}"/>
              </c:ext>
            </c:extLst>
          </c:dPt>
          <c:dPt>
            <c:idx val="7"/>
            <c:bubble3D val="0"/>
            <c:spPr>
              <a:solidFill>
                <a:schemeClr val="accent6">
                  <a:shade val="92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8770-44AE-8837-60D759EE102E}"/>
              </c:ext>
            </c:extLst>
          </c:dPt>
          <c:dPt>
            <c:idx val="8"/>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8770-44AE-8837-60D759EE102E}"/>
              </c:ext>
            </c:extLst>
          </c:dPt>
          <c:dPt>
            <c:idx val="9"/>
            <c:bubble3D val="0"/>
            <c:spPr>
              <a:solidFill>
                <a:schemeClr val="accent6">
                  <a:tint val="93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8770-44AE-8837-60D759EE102E}"/>
              </c:ext>
            </c:extLst>
          </c:dPt>
          <c:dPt>
            <c:idx val="10"/>
            <c:bubble3D val="0"/>
            <c:spPr>
              <a:solidFill>
                <a:schemeClr val="accent6">
                  <a:tint val="85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8770-44AE-8837-60D759EE102E}"/>
              </c:ext>
            </c:extLst>
          </c:dPt>
          <c:dPt>
            <c:idx val="11"/>
            <c:bubble3D val="0"/>
            <c:spPr>
              <a:solidFill>
                <a:schemeClr val="accent6">
                  <a:tint val="77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7-8770-44AE-8837-60D759EE102E}"/>
              </c:ext>
            </c:extLst>
          </c:dPt>
          <c:dPt>
            <c:idx val="12"/>
            <c:bubble3D val="0"/>
            <c:spPr>
              <a:solidFill>
                <a:schemeClr val="accent6">
                  <a:tint val="69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9-8770-44AE-8837-60D759EE102E}"/>
              </c:ext>
            </c:extLst>
          </c:dPt>
          <c:dPt>
            <c:idx val="13"/>
            <c:bubble3D val="0"/>
            <c:spPr>
              <a:solidFill>
                <a:schemeClr val="accent6">
                  <a:tint val="62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B-8770-44AE-8837-60D759EE102E}"/>
              </c:ext>
            </c:extLst>
          </c:dPt>
          <c:dPt>
            <c:idx val="14"/>
            <c:bubble3D val="0"/>
            <c:spPr>
              <a:solidFill>
                <a:schemeClr val="accent6">
                  <a:tint val="54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D-8770-44AE-8837-60D759EE102E}"/>
              </c:ext>
            </c:extLst>
          </c:dPt>
          <c:dPt>
            <c:idx val="15"/>
            <c:bubble3D val="0"/>
            <c:spPr>
              <a:solidFill>
                <a:schemeClr val="accent6">
                  <a:tint val="46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F-8770-44AE-8837-60D759EE102E}"/>
              </c:ext>
            </c:extLst>
          </c:dPt>
          <c:dPt>
            <c:idx val="16"/>
            <c:bubble3D val="0"/>
            <c:spPr>
              <a:solidFill>
                <a:schemeClr val="accent6">
                  <a:tint val="38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1-8770-44AE-8837-60D759EE102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Tables'!$K$7:$K$24</c:f>
              <c:strCache>
                <c:ptCount val="17"/>
                <c:pt idx="0">
                  <c:v>00-04 years</c:v>
                </c:pt>
                <c:pt idx="1">
                  <c:v>05-09 years</c:v>
                </c:pt>
                <c:pt idx="2">
                  <c:v>10-14 years</c:v>
                </c:pt>
                <c:pt idx="3">
                  <c:v>15-19 years</c:v>
                </c:pt>
                <c:pt idx="4">
                  <c:v>20-24 years</c:v>
                </c:pt>
                <c:pt idx="5">
                  <c:v>25-29 years</c:v>
                </c:pt>
                <c:pt idx="6">
                  <c:v>30-34 years</c:v>
                </c:pt>
                <c:pt idx="7">
                  <c:v>35-40 years</c:v>
                </c:pt>
                <c:pt idx="8">
                  <c:v>40-44 years</c:v>
                </c:pt>
                <c:pt idx="9">
                  <c:v>45-49 years</c:v>
                </c:pt>
                <c:pt idx="10">
                  <c:v>50-54 years</c:v>
                </c:pt>
                <c:pt idx="11">
                  <c:v>55-59 years</c:v>
                </c:pt>
                <c:pt idx="12">
                  <c:v>60-64 years</c:v>
                </c:pt>
                <c:pt idx="13">
                  <c:v>65-69 years</c:v>
                </c:pt>
                <c:pt idx="14">
                  <c:v>70-74 years</c:v>
                </c:pt>
                <c:pt idx="15">
                  <c:v>75-79 years</c:v>
                </c:pt>
                <c:pt idx="16">
                  <c:v>80+ years</c:v>
                </c:pt>
              </c:strCache>
            </c:strRef>
          </c:cat>
          <c:val>
            <c:numRef>
              <c:f>'Pivot Tables'!$L$7:$L$24</c:f>
              <c:numCache>
                <c:formatCode>General</c:formatCode>
                <c:ptCount val="17"/>
                <c:pt idx="0">
                  <c:v>116781822</c:v>
                </c:pt>
                <c:pt idx="1">
                  <c:v>119950007</c:v>
                </c:pt>
                <c:pt idx="2">
                  <c:v>126984911</c:v>
                </c:pt>
                <c:pt idx="3">
                  <c:v>125689426</c:v>
                </c:pt>
                <c:pt idx="4">
                  <c:v>121797336</c:v>
                </c:pt>
                <c:pt idx="5">
                  <c:v>116684121</c:v>
                </c:pt>
                <c:pt idx="6">
                  <c:v>111060977</c:v>
                </c:pt>
                <c:pt idx="7">
                  <c:v>101338706</c:v>
                </c:pt>
                <c:pt idx="8">
                  <c:v>88159869</c:v>
                </c:pt>
                <c:pt idx="9">
                  <c:v>77721621</c:v>
                </c:pt>
                <c:pt idx="10">
                  <c:v>67432781</c:v>
                </c:pt>
                <c:pt idx="11">
                  <c:v>57946173</c:v>
                </c:pt>
                <c:pt idx="12">
                  <c:v>47721000</c:v>
                </c:pt>
                <c:pt idx="13">
                  <c:v>36575275</c:v>
                </c:pt>
                <c:pt idx="14">
                  <c:v>22844405</c:v>
                </c:pt>
                <c:pt idx="15">
                  <c:v>14656280</c:v>
                </c:pt>
                <c:pt idx="16">
                  <c:v>13073046</c:v>
                </c:pt>
              </c:numCache>
            </c:numRef>
          </c:val>
          <c:extLst>
            <c:ext xmlns:c16="http://schemas.microsoft.com/office/drawing/2014/chart" uri="{C3380CC4-5D6E-409C-BE32-E72D297353CC}">
              <c16:uniqueId val="{00000022-8770-44AE-8837-60D759EE102E}"/>
            </c:ext>
          </c:extLst>
        </c:ser>
        <c:dLbls>
          <c:showLegendKey val="0"/>
          <c:showVal val="0"/>
          <c:showCatName val="0"/>
          <c:showSerName val="0"/>
          <c:showPercent val="1"/>
          <c:showBubbleSize val="0"/>
          <c:showLeaderLines val="1"/>
        </c:dLbls>
        <c:firstSliceAng val="0"/>
        <c:holeSize val="50"/>
      </c:doughnutChart>
      <c:spPr>
        <a:noFill/>
        <a:ln cmpd="dbl">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Tables!PivotTable16</c:name>
    <c:fmtId val="2"/>
  </c:pivotSource>
  <c:chart>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88928483912475"/>
          <c:y val="3.5336350455654274E-2"/>
          <c:w val="0.60455168959028649"/>
          <c:h val="0.89014163881747421"/>
        </c:manualLayout>
      </c:layout>
      <c:barChart>
        <c:barDir val="col"/>
        <c:grouping val="clustered"/>
        <c:varyColors val="0"/>
        <c:ser>
          <c:idx val="0"/>
          <c:order val="0"/>
          <c:tx>
            <c:strRef>
              <c:f>'Pivot Tables'!$S$6</c:f>
              <c:strCache>
                <c:ptCount val="1"/>
                <c:pt idx="0">
                  <c:v>No. of Deaths</c:v>
                </c:pt>
              </c:strCache>
            </c:strRef>
          </c:tx>
          <c:spPr>
            <a:solidFill>
              <a:schemeClr val="accent6"/>
            </a:solidFill>
            <a:ln>
              <a:noFill/>
            </a:ln>
            <a:effectLst/>
          </c:spPr>
          <c:invertIfNegative val="0"/>
          <c:cat>
            <c:strRef>
              <c:f>'Pivot Tables'!$R$7:$R$12</c:f>
              <c:strCache>
                <c:ptCount val="5"/>
                <c:pt idx="0">
                  <c:v>2015</c:v>
                </c:pt>
                <c:pt idx="1">
                  <c:v>2016</c:v>
                </c:pt>
                <c:pt idx="2">
                  <c:v>2017</c:v>
                </c:pt>
                <c:pt idx="3">
                  <c:v>2018</c:v>
                </c:pt>
                <c:pt idx="4">
                  <c:v>2019</c:v>
                </c:pt>
              </c:strCache>
            </c:strRef>
          </c:cat>
          <c:val>
            <c:numRef>
              <c:f>'Pivot Tables'!$S$7:$S$12</c:f>
              <c:numCache>
                <c:formatCode>General</c:formatCode>
                <c:ptCount val="5"/>
                <c:pt idx="0">
                  <c:v>9619556</c:v>
                </c:pt>
                <c:pt idx="1">
                  <c:v>9588436</c:v>
                </c:pt>
                <c:pt idx="2">
                  <c:v>9697245</c:v>
                </c:pt>
                <c:pt idx="3">
                  <c:v>9779373</c:v>
                </c:pt>
                <c:pt idx="4">
                  <c:v>9933857</c:v>
                </c:pt>
              </c:numCache>
            </c:numRef>
          </c:val>
          <c:extLst>
            <c:ext xmlns:c16="http://schemas.microsoft.com/office/drawing/2014/chart" uri="{C3380CC4-5D6E-409C-BE32-E72D297353CC}">
              <c16:uniqueId val="{00000000-78DE-486D-9222-125F6F5EB99F}"/>
            </c:ext>
          </c:extLst>
        </c:ser>
        <c:dLbls>
          <c:showLegendKey val="0"/>
          <c:showVal val="0"/>
          <c:showCatName val="0"/>
          <c:showSerName val="0"/>
          <c:showPercent val="0"/>
          <c:showBubbleSize val="0"/>
        </c:dLbls>
        <c:gapWidth val="219"/>
        <c:overlap val="-27"/>
        <c:axId val="1184487136"/>
        <c:axId val="1184487968"/>
      </c:barChart>
      <c:lineChart>
        <c:grouping val="standard"/>
        <c:varyColors val="0"/>
        <c:ser>
          <c:idx val="1"/>
          <c:order val="1"/>
          <c:tx>
            <c:strRef>
              <c:f>'Pivot Tables'!$T$6</c:f>
              <c:strCache>
                <c:ptCount val="1"/>
                <c:pt idx="0">
                  <c:v>Average of Death rates</c:v>
                </c:pt>
              </c:strCache>
            </c:strRef>
          </c:tx>
          <c:spPr>
            <a:ln w="28575" cap="rnd">
              <a:solidFill>
                <a:schemeClr val="accent5"/>
              </a:solidFill>
              <a:round/>
            </a:ln>
            <a:effectLst/>
          </c:spPr>
          <c:marker>
            <c:symbol val="none"/>
          </c:marker>
          <c:cat>
            <c:strRef>
              <c:f>'Pivot Tables'!$R$7:$R$12</c:f>
              <c:strCache>
                <c:ptCount val="5"/>
                <c:pt idx="0">
                  <c:v>2015</c:v>
                </c:pt>
                <c:pt idx="1">
                  <c:v>2016</c:v>
                </c:pt>
                <c:pt idx="2">
                  <c:v>2017</c:v>
                </c:pt>
                <c:pt idx="3">
                  <c:v>2018</c:v>
                </c:pt>
                <c:pt idx="4">
                  <c:v>2019</c:v>
                </c:pt>
              </c:strCache>
            </c:strRef>
          </c:cat>
          <c:val>
            <c:numRef>
              <c:f>'Pivot Tables'!$T$7:$T$12</c:f>
              <c:numCache>
                <c:formatCode>General</c:formatCode>
                <c:ptCount val="5"/>
                <c:pt idx="0">
                  <c:v>7.34399999166929</c:v>
                </c:pt>
                <c:pt idx="1">
                  <c:v>7.2392348900970767</c:v>
                </c:pt>
                <c:pt idx="2">
                  <c:v>7.244000303665123</c:v>
                </c:pt>
                <c:pt idx="3">
                  <c:v>7.2300002215272148</c:v>
                </c:pt>
                <c:pt idx="4">
                  <c:v>7.2699999369738872</c:v>
                </c:pt>
              </c:numCache>
            </c:numRef>
          </c:val>
          <c:smooth val="0"/>
          <c:extLst>
            <c:ext xmlns:c16="http://schemas.microsoft.com/office/drawing/2014/chart" uri="{C3380CC4-5D6E-409C-BE32-E72D297353CC}">
              <c16:uniqueId val="{00000001-78DE-486D-9222-125F6F5EB99F}"/>
            </c:ext>
          </c:extLst>
        </c:ser>
        <c:dLbls>
          <c:showLegendKey val="0"/>
          <c:showVal val="0"/>
          <c:showCatName val="0"/>
          <c:showSerName val="0"/>
          <c:showPercent val="0"/>
          <c:showBubbleSize val="0"/>
        </c:dLbls>
        <c:marker val="1"/>
        <c:smooth val="0"/>
        <c:axId val="1175411408"/>
        <c:axId val="1175415152"/>
      </c:lineChart>
      <c:catAx>
        <c:axId val="1184487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4487968"/>
        <c:crosses val="autoZero"/>
        <c:auto val="1"/>
        <c:lblAlgn val="ctr"/>
        <c:lblOffset val="100"/>
        <c:noMultiLvlLbl val="0"/>
      </c:catAx>
      <c:valAx>
        <c:axId val="11844879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4487136"/>
        <c:crosses val="autoZero"/>
        <c:crossBetween val="between"/>
      </c:valAx>
      <c:valAx>
        <c:axId val="117541515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5411408"/>
        <c:crosses val="max"/>
        <c:crossBetween val="between"/>
      </c:valAx>
      <c:catAx>
        <c:axId val="1175411408"/>
        <c:scaling>
          <c:orientation val="minMax"/>
        </c:scaling>
        <c:delete val="1"/>
        <c:axPos val="b"/>
        <c:numFmt formatCode="General" sourceLinked="1"/>
        <c:majorTickMark val="out"/>
        <c:minorTickMark val="none"/>
        <c:tickLblPos val="nextTo"/>
        <c:crossAx val="1175415152"/>
        <c:crosses val="autoZero"/>
        <c:auto val="1"/>
        <c:lblAlgn val="ctr"/>
        <c:lblOffset val="100"/>
        <c:noMultiLvlLbl val="0"/>
      </c:catAx>
      <c:spPr>
        <a:noFill/>
        <a:ln>
          <a:noFill/>
        </a:ln>
        <a:effectLst/>
      </c:spPr>
    </c:plotArea>
    <c:legend>
      <c:legendPos val="r"/>
      <c:layout>
        <c:manualLayout>
          <c:xMode val="edge"/>
          <c:yMode val="edge"/>
          <c:x val="0.78169468107519624"/>
          <c:y val="0.44579044658873951"/>
          <c:w val="0.20452492451978849"/>
          <c:h val="0.1533926437660809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Tables!PivotTable15</c:name>
    <c:fmtId val="2"/>
  </c:pivotSource>
  <c:chart>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636320990621813"/>
          <c:y val="3.5256401358671169E-2"/>
          <c:w val="0.60685006920240836"/>
          <c:h val="0.89039019523768548"/>
        </c:manualLayout>
      </c:layout>
      <c:barChart>
        <c:barDir val="col"/>
        <c:grouping val="clustered"/>
        <c:varyColors val="0"/>
        <c:ser>
          <c:idx val="0"/>
          <c:order val="0"/>
          <c:tx>
            <c:strRef>
              <c:f>'Pivot Tables'!$O$6</c:f>
              <c:strCache>
                <c:ptCount val="1"/>
                <c:pt idx="0">
                  <c:v>No. of Births</c:v>
                </c:pt>
              </c:strCache>
            </c:strRef>
          </c:tx>
          <c:spPr>
            <a:solidFill>
              <a:schemeClr val="accent6"/>
            </a:solidFill>
            <a:ln>
              <a:noFill/>
            </a:ln>
            <a:effectLst/>
          </c:spPr>
          <c:invertIfNegative val="0"/>
          <c:cat>
            <c:strRef>
              <c:f>'Pivot Tables'!$N$7:$N$12</c:f>
              <c:strCache>
                <c:ptCount val="5"/>
                <c:pt idx="0">
                  <c:v>2015</c:v>
                </c:pt>
                <c:pt idx="1">
                  <c:v>2016</c:v>
                </c:pt>
                <c:pt idx="2">
                  <c:v>2017</c:v>
                </c:pt>
                <c:pt idx="3">
                  <c:v>2018</c:v>
                </c:pt>
                <c:pt idx="4">
                  <c:v>2019</c:v>
                </c:pt>
              </c:strCache>
            </c:strRef>
          </c:cat>
          <c:val>
            <c:numRef>
              <c:f>'Pivot Tables'!$O$7:$O$12</c:f>
              <c:numCache>
                <c:formatCode>General</c:formatCode>
                <c:ptCount val="5"/>
                <c:pt idx="0">
                  <c:v>24813844</c:v>
                </c:pt>
                <c:pt idx="1">
                  <c:v>24656980</c:v>
                </c:pt>
                <c:pt idx="2">
                  <c:v>24497462</c:v>
                </c:pt>
                <c:pt idx="3">
                  <c:v>24346991</c:v>
                </c:pt>
                <c:pt idx="4">
                  <c:v>24322245</c:v>
                </c:pt>
              </c:numCache>
            </c:numRef>
          </c:val>
          <c:extLst>
            <c:ext xmlns:c16="http://schemas.microsoft.com/office/drawing/2014/chart" uri="{C3380CC4-5D6E-409C-BE32-E72D297353CC}">
              <c16:uniqueId val="{00000000-487E-4430-B71B-4F555D1AC499}"/>
            </c:ext>
          </c:extLst>
        </c:ser>
        <c:dLbls>
          <c:showLegendKey val="0"/>
          <c:showVal val="0"/>
          <c:showCatName val="0"/>
          <c:showSerName val="0"/>
          <c:showPercent val="0"/>
          <c:showBubbleSize val="0"/>
        </c:dLbls>
        <c:gapWidth val="219"/>
        <c:overlap val="-27"/>
        <c:axId val="1257183440"/>
        <c:axId val="1257183024"/>
      </c:barChart>
      <c:lineChart>
        <c:grouping val="standard"/>
        <c:varyColors val="0"/>
        <c:ser>
          <c:idx val="1"/>
          <c:order val="1"/>
          <c:tx>
            <c:strRef>
              <c:f>'Pivot Tables'!$P$6</c:f>
              <c:strCache>
                <c:ptCount val="1"/>
                <c:pt idx="0">
                  <c:v>Average of Birth Rates</c:v>
                </c:pt>
              </c:strCache>
            </c:strRef>
          </c:tx>
          <c:spPr>
            <a:ln w="28575" cap="rnd">
              <a:solidFill>
                <a:schemeClr val="accent5"/>
              </a:solidFill>
              <a:round/>
            </a:ln>
            <a:effectLst/>
          </c:spPr>
          <c:marker>
            <c:symbol val="none"/>
          </c:marker>
          <c:cat>
            <c:strRef>
              <c:f>'Pivot Tables'!$N$7:$N$12</c:f>
              <c:strCache>
                <c:ptCount val="5"/>
                <c:pt idx="0">
                  <c:v>2015</c:v>
                </c:pt>
                <c:pt idx="1">
                  <c:v>2016</c:v>
                </c:pt>
                <c:pt idx="2">
                  <c:v>2017</c:v>
                </c:pt>
                <c:pt idx="3">
                  <c:v>2018</c:v>
                </c:pt>
                <c:pt idx="4">
                  <c:v>2019</c:v>
                </c:pt>
              </c:strCache>
            </c:strRef>
          </c:cat>
          <c:val>
            <c:numRef>
              <c:f>'Pivot Tables'!$P$7:$P$12</c:f>
              <c:numCache>
                <c:formatCode>General</c:formatCode>
                <c:ptCount val="5"/>
                <c:pt idx="0">
                  <c:v>18.944000131532377</c:v>
                </c:pt>
                <c:pt idx="1">
                  <c:v>18.61593172238161</c:v>
                </c:pt>
                <c:pt idx="2">
                  <c:v>18.300003987423729</c:v>
                </c:pt>
                <c:pt idx="3">
                  <c:v>18.000003714299588</c:v>
                </c:pt>
                <c:pt idx="4">
                  <c:v>17.800006544996918</c:v>
                </c:pt>
              </c:numCache>
            </c:numRef>
          </c:val>
          <c:smooth val="0"/>
          <c:extLst>
            <c:ext xmlns:c16="http://schemas.microsoft.com/office/drawing/2014/chart" uri="{C3380CC4-5D6E-409C-BE32-E72D297353CC}">
              <c16:uniqueId val="{00000001-487E-4430-B71B-4F555D1AC499}"/>
            </c:ext>
          </c:extLst>
        </c:ser>
        <c:dLbls>
          <c:showLegendKey val="0"/>
          <c:showVal val="0"/>
          <c:showCatName val="0"/>
          <c:showSerName val="0"/>
          <c:showPercent val="0"/>
          <c:showBubbleSize val="0"/>
        </c:dLbls>
        <c:marker val="1"/>
        <c:smooth val="0"/>
        <c:axId val="1257185936"/>
        <c:axId val="1257185520"/>
      </c:lineChart>
      <c:catAx>
        <c:axId val="1257183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183024"/>
        <c:crosses val="autoZero"/>
        <c:auto val="1"/>
        <c:lblAlgn val="ctr"/>
        <c:lblOffset val="100"/>
        <c:noMultiLvlLbl val="0"/>
      </c:catAx>
      <c:valAx>
        <c:axId val="125718302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183440"/>
        <c:crosses val="autoZero"/>
        <c:crossBetween val="between"/>
      </c:valAx>
      <c:valAx>
        <c:axId val="125718552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185936"/>
        <c:crosses val="max"/>
        <c:crossBetween val="between"/>
      </c:valAx>
      <c:catAx>
        <c:axId val="1257185936"/>
        <c:scaling>
          <c:orientation val="minMax"/>
        </c:scaling>
        <c:delete val="1"/>
        <c:axPos val="b"/>
        <c:numFmt formatCode="General" sourceLinked="1"/>
        <c:majorTickMark val="out"/>
        <c:minorTickMark val="none"/>
        <c:tickLblPos val="nextTo"/>
        <c:crossAx val="1257185520"/>
        <c:crosses val="autoZero"/>
        <c:auto val="1"/>
        <c:lblAlgn val="ctr"/>
        <c:lblOffset val="100"/>
        <c:noMultiLvlLbl val="0"/>
      </c:catAx>
      <c:spPr>
        <a:noFill/>
        <a:ln>
          <a:noFill/>
        </a:ln>
        <a:effectLst/>
      </c:spPr>
    </c:plotArea>
    <c:legend>
      <c:legendPos val="r"/>
      <c:layout>
        <c:manualLayout>
          <c:xMode val="edge"/>
          <c:yMode val="edge"/>
          <c:x val="0.78441705209371204"/>
          <c:y val="0.44591297044393036"/>
          <c:w val="0.20081201369316001"/>
          <c:h val="0.165866099872274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Tables!PivotTable2</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Tables'!$W$6</c:f>
              <c:strCache>
                <c:ptCount val="1"/>
                <c:pt idx="0">
                  <c:v>Total</c:v>
                </c:pt>
              </c:strCache>
            </c:strRef>
          </c:tx>
          <c:spPr>
            <a:solidFill>
              <a:schemeClr val="accent1"/>
            </a:solidFill>
            <a:ln>
              <a:noFill/>
            </a:ln>
            <a:effectLst/>
          </c:spPr>
          <c:invertIfNegative val="0"/>
          <c:cat>
            <c:strRef>
              <c:f>'Pivot Tables'!$V$7:$V$12</c:f>
              <c:strCache>
                <c:ptCount val="5"/>
                <c:pt idx="0">
                  <c:v>2015</c:v>
                </c:pt>
                <c:pt idx="1">
                  <c:v>2016</c:v>
                </c:pt>
                <c:pt idx="2">
                  <c:v>2017</c:v>
                </c:pt>
                <c:pt idx="3">
                  <c:v>2018</c:v>
                </c:pt>
                <c:pt idx="4">
                  <c:v>2019</c:v>
                </c:pt>
              </c:strCache>
            </c:strRef>
          </c:cat>
          <c:val>
            <c:numRef>
              <c:f>'Pivot Tables'!$W$7:$W$12</c:f>
              <c:numCache>
                <c:formatCode>General</c:formatCode>
                <c:ptCount val="5"/>
                <c:pt idx="0">
                  <c:v>923.64150984644323</c:v>
                </c:pt>
                <c:pt idx="1">
                  <c:v>923.47986732589743</c:v>
                </c:pt>
                <c:pt idx="2">
                  <c:v>923.71641112035513</c:v>
                </c:pt>
                <c:pt idx="3">
                  <c:v>923.93790776369042</c:v>
                </c:pt>
                <c:pt idx="4">
                  <c:v>924.18089582107984</c:v>
                </c:pt>
              </c:numCache>
            </c:numRef>
          </c:val>
          <c:extLst>
            <c:ext xmlns:c16="http://schemas.microsoft.com/office/drawing/2014/chart" uri="{C3380CC4-5D6E-409C-BE32-E72D297353CC}">
              <c16:uniqueId val="{00000000-F046-46B4-8EAE-957A30045C8D}"/>
            </c:ext>
          </c:extLst>
        </c:ser>
        <c:dLbls>
          <c:showLegendKey val="0"/>
          <c:showVal val="0"/>
          <c:showCatName val="0"/>
          <c:showSerName val="0"/>
          <c:showPercent val="0"/>
          <c:showBubbleSize val="0"/>
        </c:dLbls>
        <c:gapWidth val="219"/>
        <c:overlap val="-27"/>
        <c:axId val="1841144896"/>
        <c:axId val="1841153632"/>
      </c:barChart>
      <c:catAx>
        <c:axId val="1841144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153632"/>
        <c:crosses val="autoZero"/>
        <c:auto val="1"/>
        <c:lblAlgn val="ctr"/>
        <c:lblOffset val="100"/>
        <c:noMultiLvlLbl val="0"/>
      </c:catAx>
      <c:valAx>
        <c:axId val="18411536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1448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9">
  <a:schemeClr val="accent6"/>
</cs:colorStyle>
</file>

<file path=xl/charts/colors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9">
  <a:schemeClr val="accent6"/>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1.svg"/><Relationship Id="rId3" Type="http://schemas.openxmlformats.org/officeDocument/2006/relationships/chart" Target="../charts/chart2.xml"/><Relationship Id="rId21" Type="http://schemas.openxmlformats.org/officeDocument/2006/relationships/image" Target="../media/image13.svg"/><Relationship Id="rId7" Type="http://schemas.openxmlformats.org/officeDocument/2006/relationships/chart" Target="../charts/chart6.xml"/><Relationship Id="rId12" Type="http://schemas.openxmlformats.org/officeDocument/2006/relationships/image" Target="../media/image6.png"/><Relationship Id="rId17" Type="http://schemas.openxmlformats.org/officeDocument/2006/relationships/image" Target="../media/image10.png"/><Relationship Id="rId2" Type="http://schemas.openxmlformats.org/officeDocument/2006/relationships/chart" Target="../charts/chart1.xml"/><Relationship Id="rId16" Type="http://schemas.openxmlformats.org/officeDocument/2006/relationships/hyperlink" Target="#'Pivot Tables'!A1"/><Relationship Id="rId20" Type="http://schemas.openxmlformats.org/officeDocument/2006/relationships/image" Target="../media/image12.png"/><Relationship Id="rId1" Type="http://schemas.openxmlformats.org/officeDocument/2006/relationships/image" Target="../media/image1.jpg"/><Relationship Id="rId6" Type="http://schemas.openxmlformats.org/officeDocument/2006/relationships/chart" Target="../charts/chart5.xml"/><Relationship Id="rId11" Type="http://schemas.openxmlformats.org/officeDocument/2006/relationships/image" Target="../media/image5.svg"/><Relationship Id="rId24" Type="http://schemas.openxmlformats.org/officeDocument/2006/relationships/image" Target="../media/image15.svg"/><Relationship Id="rId5" Type="http://schemas.openxmlformats.org/officeDocument/2006/relationships/chart" Target="../charts/chart4.xml"/><Relationship Id="rId15" Type="http://schemas.openxmlformats.org/officeDocument/2006/relationships/image" Target="../media/image9.svg"/><Relationship Id="rId23" Type="http://schemas.openxmlformats.org/officeDocument/2006/relationships/image" Target="../media/image14.png"/><Relationship Id="rId10" Type="http://schemas.openxmlformats.org/officeDocument/2006/relationships/image" Target="../media/image4.png"/><Relationship Id="rId19" Type="http://schemas.openxmlformats.org/officeDocument/2006/relationships/hyperlink" Target="#'Bare charts'!A1"/><Relationship Id="rId4" Type="http://schemas.openxmlformats.org/officeDocument/2006/relationships/chart" Target="../charts/chart3.xml"/><Relationship Id="rId9" Type="http://schemas.openxmlformats.org/officeDocument/2006/relationships/image" Target="../media/image3.svg"/><Relationship Id="rId14" Type="http://schemas.openxmlformats.org/officeDocument/2006/relationships/image" Target="../media/image8.svg"/><Relationship Id="rId22" Type="http://schemas.openxmlformats.org/officeDocument/2006/relationships/hyperlink" Target="#'Refined Population Dataset'!A1"/></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0</xdr:col>
      <xdr:colOff>26581</xdr:colOff>
      <xdr:row>0</xdr:row>
      <xdr:rowOff>34202</xdr:rowOff>
    </xdr:from>
    <xdr:to>
      <xdr:col>28</xdr:col>
      <xdr:colOff>53162</xdr:colOff>
      <xdr:row>46</xdr:row>
      <xdr:rowOff>87542</xdr:rowOff>
    </xdr:to>
    <xdr:pic>
      <xdr:nvPicPr>
        <xdr:cNvPr id="3" name="Picture 2">
          <a:extLst>
            <a:ext uri="{FF2B5EF4-FFF2-40B4-BE49-F238E27FC236}">
              <a16:creationId xmlns:a16="http://schemas.microsoft.com/office/drawing/2014/main" id="{144C487A-7E5B-4372-99BB-2E00FE1C86F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581" y="34202"/>
          <a:ext cx="17145000" cy="8612549"/>
        </a:xfrm>
        <a:prstGeom prst="rect">
          <a:avLst/>
        </a:prstGeom>
      </xdr:spPr>
    </xdr:pic>
    <xdr:clientData/>
  </xdr:twoCellAnchor>
  <xdr:twoCellAnchor>
    <xdr:from>
      <xdr:col>3</xdr:col>
      <xdr:colOff>171007</xdr:colOff>
      <xdr:row>5</xdr:row>
      <xdr:rowOff>45896</xdr:rowOff>
    </xdr:from>
    <xdr:to>
      <xdr:col>24</xdr:col>
      <xdr:colOff>10987</xdr:colOff>
      <xdr:row>32</xdr:row>
      <xdr:rowOff>59514</xdr:rowOff>
    </xdr:to>
    <xdr:sp macro="" textlink="">
      <xdr:nvSpPr>
        <xdr:cNvPr id="5" name="Freeform: Shape 4">
          <a:extLst>
            <a:ext uri="{FF2B5EF4-FFF2-40B4-BE49-F238E27FC236}">
              <a16:creationId xmlns:a16="http://schemas.microsoft.com/office/drawing/2014/main" id="{EDCEFC73-A049-4350-9ABE-111B98BCAB62}"/>
            </a:ext>
          </a:extLst>
        </xdr:cNvPr>
        <xdr:cNvSpPr/>
      </xdr:nvSpPr>
      <xdr:spPr>
        <a:xfrm>
          <a:off x="2005123" y="976245"/>
          <a:ext cx="12678794" cy="5037502"/>
        </a:xfrm>
        <a:custGeom>
          <a:avLst/>
          <a:gdLst>
            <a:gd name="connsiteX0" fmla="*/ 7473356 w 9766569"/>
            <a:gd name="connsiteY0" fmla="*/ 2539174 h 4951378"/>
            <a:gd name="connsiteX1" fmla="*/ 9766569 w 9766569"/>
            <a:gd name="connsiteY1" fmla="*/ 2539174 h 4951378"/>
            <a:gd name="connsiteX2" fmla="*/ 9766569 w 9766569"/>
            <a:gd name="connsiteY2" fmla="*/ 4951378 h 4951378"/>
            <a:gd name="connsiteX3" fmla="*/ 7473356 w 9766569"/>
            <a:gd name="connsiteY3" fmla="*/ 4951378 h 4951378"/>
            <a:gd name="connsiteX4" fmla="*/ 4942815 w 9766569"/>
            <a:gd name="connsiteY4" fmla="*/ 1958958 h 4951378"/>
            <a:gd name="connsiteX5" fmla="*/ 7354293 w 9766569"/>
            <a:gd name="connsiteY5" fmla="*/ 1958958 h 4951378"/>
            <a:gd name="connsiteX6" fmla="*/ 7354293 w 9766569"/>
            <a:gd name="connsiteY6" fmla="*/ 4951378 h 4951378"/>
            <a:gd name="connsiteX7" fmla="*/ 4942815 w 9766569"/>
            <a:gd name="connsiteY7" fmla="*/ 4951378 h 4951378"/>
            <a:gd name="connsiteX8" fmla="*/ 2205966 w 9766569"/>
            <a:gd name="connsiteY8" fmla="*/ 1958958 h 4951378"/>
            <a:gd name="connsiteX9" fmla="*/ 4823752 w 9766569"/>
            <a:gd name="connsiteY9" fmla="*/ 1958958 h 4951378"/>
            <a:gd name="connsiteX10" fmla="*/ 4823752 w 9766569"/>
            <a:gd name="connsiteY10" fmla="*/ 4951378 h 4951378"/>
            <a:gd name="connsiteX11" fmla="*/ 2205966 w 9766569"/>
            <a:gd name="connsiteY11" fmla="*/ 4951378 h 4951378"/>
            <a:gd name="connsiteX12" fmla="*/ 7473356 w 9766569"/>
            <a:gd name="connsiteY12" fmla="*/ 0 h 4951378"/>
            <a:gd name="connsiteX13" fmla="*/ 9766569 w 9766569"/>
            <a:gd name="connsiteY13" fmla="*/ 0 h 4951378"/>
            <a:gd name="connsiteX14" fmla="*/ 9766569 w 9766569"/>
            <a:gd name="connsiteY14" fmla="*/ 2420111 h 4951378"/>
            <a:gd name="connsiteX15" fmla="*/ 7473356 w 9766569"/>
            <a:gd name="connsiteY15" fmla="*/ 2420111 h 4951378"/>
            <a:gd name="connsiteX16" fmla="*/ 2205966 w 9766569"/>
            <a:gd name="connsiteY16" fmla="*/ 0 h 4951378"/>
            <a:gd name="connsiteX17" fmla="*/ 7354293 w 9766569"/>
            <a:gd name="connsiteY17" fmla="*/ 0 h 4951378"/>
            <a:gd name="connsiteX18" fmla="*/ 7354293 w 9766569"/>
            <a:gd name="connsiteY18" fmla="*/ 1839895 h 4951378"/>
            <a:gd name="connsiteX19" fmla="*/ 2205966 w 9766569"/>
            <a:gd name="connsiteY19" fmla="*/ 1839895 h 4951378"/>
            <a:gd name="connsiteX20" fmla="*/ 0 w 9766569"/>
            <a:gd name="connsiteY20" fmla="*/ 0 h 4951378"/>
            <a:gd name="connsiteX21" fmla="*/ 2086903 w 9766569"/>
            <a:gd name="connsiteY21" fmla="*/ 0 h 4951378"/>
            <a:gd name="connsiteX22" fmla="*/ 2086903 w 9766569"/>
            <a:gd name="connsiteY22" fmla="*/ 1839895 h 4951378"/>
            <a:gd name="connsiteX23" fmla="*/ 2086903 w 9766569"/>
            <a:gd name="connsiteY23" fmla="*/ 1958958 h 4951378"/>
            <a:gd name="connsiteX24" fmla="*/ 2086903 w 9766569"/>
            <a:gd name="connsiteY24" fmla="*/ 4951378 h 4951378"/>
            <a:gd name="connsiteX25" fmla="*/ 0 w 9766569"/>
            <a:gd name="connsiteY25" fmla="*/ 4951378 h 495137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9766569" h="4951378">
              <a:moveTo>
                <a:pt x="7473356" y="2539174"/>
              </a:moveTo>
              <a:lnTo>
                <a:pt x="9766569" y="2539174"/>
              </a:lnTo>
              <a:lnTo>
                <a:pt x="9766569" y="4951378"/>
              </a:lnTo>
              <a:lnTo>
                <a:pt x="7473356" y="4951378"/>
              </a:lnTo>
              <a:close/>
              <a:moveTo>
                <a:pt x="4942815" y="1958958"/>
              </a:moveTo>
              <a:lnTo>
                <a:pt x="7354293" y="1958958"/>
              </a:lnTo>
              <a:lnTo>
                <a:pt x="7354293" y="4951378"/>
              </a:lnTo>
              <a:lnTo>
                <a:pt x="4942815" y="4951378"/>
              </a:lnTo>
              <a:close/>
              <a:moveTo>
                <a:pt x="2205966" y="1958958"/>
              </a:moveTo>
              <a:lnTo>
                <a:pt x="4823752" y="1958958"/>
              </a:lnTo>
              <a:lnTo>
                <a:pt x="4823752" y="4951378"/>
              </a:lnTo>
              <a:lnTo>
                <a:pt x="2205966" y="4951378"/>
              </a:lnTo>
              <a:close/>
              <a:moveTo>
                <a:pt x="7473356" y="0"/>
              </a:moveTo>
              <a:lnTo>
                <a:pt x="9766569" y="0"/>
              </a:lnTo>
              <a:lnTo>
                <a:pt x="9766569" y="2420111"/>
              </a:lnTo>
              <a:lnTo>
                <a:pt x="7473356" y="2420111"/>
              </a:lnTo>
              <a:close/>
              <a:moveTo>
                <a:pt x="2205966" y="0"/>
              </a:moveTo>
              <a:lnTo>
                <a:pt x="7354293" y="0"/>
              </a:lnTo>
              <a:lnTo>
                <a:pt x="7354293" y="1839895"/>
              </a:lnTo>
              <a:lnTo>
                <a:pt x="2205966" y="1839895"/>
              </a:lnTo>
              <a:close/>
              <a:moveTo>
                <a:pt x="0" y="0"/>
              </a:moveTo>
              <a:lnTo>
                <a:pt x="2086903" y="0"/>
              </a:lnTo>
              <a:lnTo>
                <a:pt x="2086903" y="1839895"/>
              </a:lnTo>
              <a:lnTo>
                <a:pt x="2086903" y="1958958"/>
              </a:lnTo>
              <a:lnTo>
                <a:pt x="2086903" y="4951378"/>
              </a:lnTo>
              <a:lnTo>
                <a:pt x="0" y="4951378"/>
              </a:lnTo>
              <a:close/>
            </a:path>
          </a:pathLst>
        </a:custGeom>
        <a:gradFill>
          <a:gsLst>
            <a:gs pos="100000">
              <a:srgbClr val="B3117D">
                <a:alpha val="80000"/>
              </a:srgbClr>
            </a:gs>
            <a:gs pos="50000">
              <a:srgbClr val="5A093F">
                <a:alpha val="80000"/>
              </a:srgbClr>
            </a:gs>
            <a:gs pos="0">
              <a:scrgbClr r="0" g="0" b="0">
                <a:alpha val="80000"/>
              </a:scrgbClr>
            </a:gs>
          </a:gsLst>
          <a:lin ang="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3</xdr:col>
      <xdr:colOff>346267</xdr:colOff>
      <xdr:row>6</xdr:row>
      <xdr:rowOff>94274</xdr:rowOff>
    </xdr:from>
    <xdr:to>
      <xdr:col>7</xdr:col>
      <xdr:colOff>285306</xdr:colOff>
      <xdr:row>29</xdr:row>
      <xdr:rowOff>150804</xdr:rowOff>
    </xdr:to>
    <xdr:graphicFrame macro="">
      <xdr:nvGraphicFramePr>
        <xdr:cNvPr id="6" name="Chart 5">
          <a:extLst>
            <a:ext uri="{FF2B5EF4-FFF2-40B4-BE49-F238E27FC236}">
              <a16:creationId xmlns:a16="http://schemas.microsoft.com/office/drawing/2014/main" id="{2F631C44-4598-4166-B719-37F261195EDB}"/>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10987</xdr:colOff>
      <xdr:row>17</xdr:row>
      <xdr:rowOff>177210</xdr:rowOff>
    </xdr:from>
    <xdr:to>
      <xdr:col>13</xdr:col>
      <xdr:colOff>308167</xdr:colOff>
      <xdr:row>32</xdr:row>
      <xdr:rowOff>10455</xdr:rowOff>
    </xdr:to>
    <xdr:graphicFrame macro="">
      <xdr:nvGraphicFramePr>
        <xdr:cNvPr id="7" name="Chart 6">
          <a:extLst>
            <a:ext uri="{FF2B5EF4-FFF2-40B4-BE49-F238E27FC236}">
              <a16:creationId xmlns:a16="http://schemas.microsoft.com/office/drawing/2014/main" id="{DDBF200E-D981-4B53-B61C-38ABC9C083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492820</xdr:colOff>
      <xdr:row>17</xdr:row>
      <xdr:rowOff>177209</xdr:rowOff>
    </xdr:from>
    <xdr:to>
      <xdr:col>18</xdr:col>
      <xdr:colOff>538540</xdr:colOff>
      <xdr:row>32</xdr:row>
      <xdr:rowOff>18074</xdr:rowOff>
    </xdr:to>
    <xdr:graphicFrame macro="">
      <xdr:nvGraphicFramePr>
        <xdr:cNvPr id="8" name="Chart 7">
          <a:extLst>
            <a:ext uri="{FF2B5EF4-FFF2-40B4-BE49-F238E27FC236}">
              <a16:creationId xmlns:a16="http://schemas.microsoft.com/office/drawing/2014/main" id="{020CF057-65F4-444D-B6A6-62F6053DF6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599499</xdr:colOff>
      <xdr:row>7</xdr:row>
      <xdr:rowOff>8861</xdr:rowOff>
    </xdr:from>
    <xdr:to>
      <xdr:col>18</xdr:col>
      <xdr:colOff>528148</xdr:colOff>
      <xdr:row>15</xdr:row>
      <xdr:rowOff>10454</xdr:rowOff>
    </xdr:to>
    <xdr:graphicFrame macro="">
      <xdr:nvGraphicFramePr>
        <xdr:cNvPr id="9" name="Chart 8">
          <a:extLst>
            <a:ext uri="{FF2B5EF4-FFF2-40B4-BE49-F238E27FC236}">
              <a16:creationId xmlns:a16="http://schemas.microsoft.com/office/drawing/2014/main" id="{0E8EE7F7-4186-49ED-BBA3-EF3E3A84E5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94807</xdr:colOff>
      <xdr:row>6</xdr:row>
      <xdr:rowOff>168348</xdr:rowOff>
    </xdr:from>
    <xdr:to>
      <xdr:col>24</xdr:col>
      <xdr:colOff>3367</xdr:colOff>
      <xdr:row>18</xdr:row>
      <xdr:rowOff>48554</xdr:rowOff>
    </xdr:to>
    <xdr:graphicFrame macro="">
      <xdr:nvGraphicFramePr>
        <xdr:cNvPr id="10" name="Chart 9">
          <a:extLst>
            <a:ext uri="{FF2B5EF4-FFF2-40B4-BE49-F238E27FC236}">
              <a16:creationId xmlns:a16="http://schemas.microsoft.com/office/drawing/2014/main" id="{C1A82098-7487-4460-B8D9-8FB3B0BBB6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87188</xdr:colOff>
      <xdr:row>19</xdr:row>
      <xdr:rowOff>26582</xdr:rowOff>
    </xdr:from>
    <xdr:to>
      <xdr:col>24</xdr:col>
      <xdr:colOff>3367</xdr:colOff>
      <xdr:row>32</xdr:row>
      <xdr:rowOff>25695</xdr:rowOff>
    </xdr:to>
    <xdr:graphicFrame macro="">
      <xdr:nvGraphicFramePr>
        <xdr:cNvPr id="11" name="Chart 10">
          <a:extLst>
            <a:ext uri="{FF2B5EF4-FFF2-40B4-BE49-F238E27FC236}">
              <a16:creationId xmlns:a16="http://schemas.microsoft.com/office/drawing/2014/main" id="{67E88EA4-84B4-4B06-98D5-83BADB3148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179867</xdr:colOff>
      <xdr:row>33</xdr:row>
      <xdr:rowOff>8861</xdr:rowOff>
    </xdr:from>
    <xdr:to>
      <xdr:col>24</xdr:col>
      <xdr:colOff>27467</xdr:colOff>
      <xdr:row>37</xdr:row>
      <xdr:rowOff>156298</xdr:rowOff>
    </xdr:to>
    <xdr:sp macro="" textlink="">
      <xdr:nvSpPr>
        <xdr:cNvPr id="12" name="Rectangle 11">
          <a:extLst>
            <a:ext uri="{FF2B5EF4-FFF2-40B4-BE49-F238E27FC236}">
              <a16:creationId xmlns:a16="http://schemas.microsoft.com/office/drawing/2014/main" id="{0DC1D11C-82BB-48B2-A069-94281803FD71}"/>
            </a:ext>
          </a:extLst>
        </xdr:cNvPr>
        <xdr:cNvSpPr/>
      </xdr:nvSpPr>
      <xdr:spPr>
        <a:xfrm>
          <a:off x="2013983" y="6149163"/>
          <a:ext cx="12686414" cy="891716"/>
        </a:xfrm>
        <a:prstGeom prst="rect">
          <a:avLst/>
        </a:prstGeom>
        <a:gradFill>
          <a:gsLst>
            <a:gs pos="100000">
              <a:srgbClr val="B3117D">
                <a:alpha val="80000"/>
              </a:srgbClr>
            </a:gs>
            <a:gs pos="50000">
              <a:srgbClr val="5A093F">
                <a:alpha val="80000"/>
              </a:srgbClr>
            </a:gs>
            <a:gs pos="0">
              <a:scrgbClr r="0" g="0" b="0">
                <a:alpha val="80000"/>
              </a:scrgbClr>
            </a:gs>
          </a:gsLst>
          <a:lin ang="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3</xdr:col>
      <xdr:colOff>253586</xdr:colOff>
      <xdr:row>33</xdr:row>
      <xdr:rowOff>121919</xdr:rowOff>
    </xdr:from>
    <xdr:to>
      <xdr:col>18</xdr:col>
      <xdr:colOff>496185</xdr:colOff>
      <xdr:row>37</xdr:row>
      <xdr:rowOff>68580</xdr:rowOff>
    </xdr:to>
    <mc:AlternateContent xmlns:mc="http://schemas.openxmlformats.org/markup-compatibility/2006" xmlns:a14="http://schemas.microsoft.com/office/drawing/2010/main">
      <mc:Choice Requires="a14">
        <xdr:graphicFrame macro="">
          <xdr:nvGraphicFramePr>
            <xdr:cNvPr id="15" name="Country Name 1">
              <a:extLst>
                <a:ext uri="{FF2B5EF4-FFF2-40B4-BE49-F238E27FC236}">
                  <a16:creationId xmlns:a16="http://schemas.microsoft.com/office/drawing/2014/main" id="{F12BF186-334E-48B5-B97B-3183AB0B87DF}"/>
                </a:ext>
              </a:extLst>
            </xdr:cNvPr>
            <xdr:cNvGraphicFramePr/>
          </xdr:nvGraphicFramePr>
          <xdr:xfrm>
            <a:off x="0" y="0"/>
            <a:ext cx="0" cy="0"/>
          </xdr:xfrm>
          <a:graphic>
            <a:graphicData uri="http://schemas.microsoft.com/office/drawing/2010/slicer">
              <sle:slicer xmlns:sle="http://schemas.microsoft.com/office/drawing/2010/slicer" name="Country Name 1"/>
            </a:graphicData>
          </a:graphic>
        </xdr:graphicFrame>
      </mc:Choice>
      <mc:Fallback xmlns="">
        <xdr:sp macro="" textlink="">
          <xdr:nvSpPr>
            <xdr:cNvPr id="0" name=""/>
            <xdr:cNvSpPr>
              <a:spLocks noTextEdit="1"/>
            </xdr:cNvSpPr>
          </xdr:nvSpPr>
          <xdr:spPr>
            <a:xfrm>
              <a:off x="2087702" y="6262221"/>
              <a:ext cx="9413181" cy="6909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26581</xdr:colOff>
      <xdr:row>33</xdr:row>
      <xdr:rowOff>123161</xdr:rowOff>
    </xdr:from>
    <xdr:to>
      <xdr:col>23</xdr:col>
      <xdr:colOff>532159</xdr:colOff>
      <xdr:row>37</xdr:row>
      <xdr:rowOff>53164</xdr:rowOff>
    </xdr:to>
    <mc:AlternateContent xmlns:mc="http://schemas.openxmlformats.org/markup-compatibility/2006" xmlns:a14="http://schemas.microsoft.com/office/drawing/2010/main">
      <mc:Choice Requires="a14">
        <xdr:graphicFrame macro="">
          <xdr:nvGraphicFramePr>
            <xdr:cNvPr id="16" name="Year 1">
              <a:extLst>
                <a:ext uri="{FF2B5EF4-FFF2-40B4-BE49-F238E27FC236}">
                  <a16:creationId xmlns:a16="http://schemas.microsoft.com/office/drawing/2014/main" id="{018EBCC3-AEF3-44B5-8D58-3B7CFCA04AF2}"/>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1642651" y="6263463"/>
              <a:ext cx="2951066" cy="67428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8860</xdr:colOff>
      <xdr:row>0</xdr:row>
      <xdr:rowOff>38099</xdr:rowOff>
    </xdr:from>
    <xdr:to>
      <xdr:col>28</xdr:col>
      <xdr:colOff>17721</xdr:colOff>
      <xdr:row>3</xdr:row>
      <xdr:rowOff>168702</xdr:rowOff>
    </xdr:to>
    <xdr:sp macro="" textlink="">
      <xdr:nvSpPr>
        <xdr:cNvPr id="19" name="Rectangle 18">
          <a:extLst>
            <a:ext uri="{FF2B5EF4-FFF2-40B4-BE49-F238E27FC236}">
              <a16:creationId xmlns:a16="http://schemas.microsoft.com/office/drawing/2014/main" id="{BF1A1BBA-6D02-4B9C-84B7-7BC54166A168}"/>
            </a:ext>
          </a:extLst>
        </xdr:cNvPr>
        <xdr:cNvSpPr/>
      </xdr:nvSpPr>
      <xdr:spPr>
        <a:xfrm>
          <a:off x="8860" y="38099"/>
          <a:ext cx="17127280" cy="688812"/>
        </a:xfrm>
        <a:prstGeom prst="rect">
          <a:avLst/>
        </a:prstGeom>
        <a:gradFill>
          <a:gsLst>
            <a:gs pos="100000">
              <a:srgbClr val="B3117D">
                <a:alpha val="80000"/>
              </a:srgbClr>
            </a:gs>
            <a:gs pos="50000">
              <a:srgbClr val="5A093F">
                <a:alpha val="80000"/>
              </a:srgbClr>
            </a:gs>
            <a:gs pos="0">
              <a:scrgbClr r="0" g="0" b="0">
                <a:alpha val="80000"/>
              </a:scrgbClr>
            </a:gs>
          </a:gsLst>
          <a:lin ang="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9</xdr:col>
      <xdr:colOff>592277</xdr:colOff>
      <xdr:row>0</xdr:row>
      <xdr:rowOff>0</xdr:rowOff>
    </xdr:from>
    <xdr:ext cx="4577981" cy="717698"/>
    <xdr:sp macro="" textlink="">
      <xdr:nvSpPr>
        <xdr:cNvPr id="20" name="Rectangle 19">
          <a:extLst>
            <a:ext uri="{FF2B5EF4-FFF2-40B4-BE49-F238E27FC236}">
              <a16:creationId xmlns:a16="http://schemas.microsoft.com/office/drawing/2014/main" id="{600A2CDB-F901-4B26-83D4-38C0E9795071}"/>
            </a:ext>
          </a:extLst>
        </xdr:cNvPr>
        <xdr:cNvSpPr/>
      </xdr:nvSpPr>
      <xdr:spPr>
        <a:xfrm>
          <a:off x="6094626" y="0"/>
          <a:ext cx="4577981" cy="717698"/>
        </a:xfrm>
        <a:prstGeom prst="rect">
          <a:avLst/>
        </a:prstGeom>
        <a:noFill/>
      </xdr:spPr>
      <xdr:txBody>
        <a:bodyPr wrap="square" lIns="91440" tIns="45720" rIns="91440" bIns="45720" anchor="ctr">
          <a:noAutofit/>
        </a:bodyPr>
        <a:lstStyle/>
        <a:p>
          <a:pPr algn="ctr"/>
          <a:r>
            <a:rPr lang="en-US" sz="28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Population</a:t>
          </a:r>
          <a:r>
            <a:rPr lang="en-US" sz="2800" b="1" cap="none" spc="0" baseline="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 Demographics</a:t>
          </a:r>
          <a:endParaRPr lang="en-US" sz="28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endParaRPr>
        </a:p>
      </xdr:txBody>
    </xdr:sp>
    <xdr:clientData/>
  </xdr:oneCellAnchor>
  <xdr:twoCellAnchor>
    <xdr:from>
      <xdr:col>24</xdr:col>
      <xdr:colOff>353179</xdr:colOff>
      <xdr:row>2</xdr:row>
      <xdr:rowOff>111818</xdr:rowOff>
    </xdr:from>
    <xdr:to>
      <xdr:col>27</xdr:col>
      <xdr:colOff>315078</xdr:colOff>
      <xdr:row>4</xdr:row>
      <xdr:rowOff>63473</xdr:rowOff>
    </xdr:to>
    <xdr:sp macro="" textlink="">
      <xdr:nvSpPr>
        <xdr:cNvPr id="21" name="TextBox 20">
          <a:extLst>
            <a:ext uri="{FF2B5EF4-FFF2-40B4-BE49-F238E27FC236}">
              <a16:creationId xmlns:a16="http://schemas.microsoft.com/office/drawing/2014/main" id="{7A738EAC-E564-4687-BEEC-1E1ED9CF9A1E}"/>
            </a:ext>
          </a:extLst>
        </xdr:cNvPr>
        <xdr:cNvSpPr txBox="1"/>
      </xdr:nvSpPr>
      <xdr:spPr>
        <a:xfrm>
          <a:off x="15026109" y="483958"/>
          <a:ext cx="1796016" cy="323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rPr>
            <a:t>-By</a:t>
          </a:r>
          <a:r>
            <a:rPr lang="en-IN" sz="1100" baseline="0">
              <a:solidFill>
                <a:schemeClr val="bg1"/>
              </a:solidFill>
            </a:rPr>
            <a:t> Adityendra Pratap Singh</a:t>
          </a:r>
          <a:endParaRPr lang="en-IN" sz="1100">
            <a:solidFill>
              <a:schemeClr val="bg1"/>
            </a:solidFill>
          </a:endParaRPr>
        </a:p>
      </xdr:txBody>
    </xdr:sp>
    <xdr:clientData/>
  </xdr:twoCellAnchor>
  <xdr:twoCellAnchor>
    <xdr:from>
      <xdr:col>8</xdr:col>
      <xdr:colOff>8860</xdr:colOff>
      <xdr:row>16</xdr:row>
      <xdr:rowOff>17721</xdr:rowOff>
    </xdr:from>
    <xdr:to>
      <xdr:col>9</xdr:col>
      <xdr:colOff>451883</xdr:colOff>
      <xdr:row>17</xdr:row>
      <xdr:rowOff>53162</xdr:rowOff>
    </xdr:to>
    <xdr:sp macro="" textlink="">
      <xdr:nvSpPr>
        <xdr:cNvPr id="2" name="Rectangle: Rounded Corners 1">
          <a:extLst>
            <a:ext uri="{FF2B5EF4-FFF2-40B4-BE49-F238E27FC236}">
              <a16:creationId xmlns:a16="http://schemas.microsoft.com/office/drawing/2014/main" id="{BF6D8E61-9C0A-499D-A519-C3D3CE29EDCE}"/>
            </a:ext>
          </a:extLst>
        </xdr:cNvPr>
        <xdr:cNvSpPr/>
      </xdr:nvSpPr>
      <xdr:spPr>
        <a:xfrm>
          <a:off x="4899837" y="2994837"/>
          <a:ext cx="1054395" cy="221511"/>
        </a:xfrm>
        <a:prstGeom prst="roundRect">
          <a:avLst/>
        </a:prstGeom>
        <a:solidFill>
          <a:schemeClr val="tx1">
            <a:alpha val="4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515679</xdr:colOff>
      <xdr:row>16</xdr:row>
      <xdr:rowOff>37214</xdr:rowOff>
    </xdr:from>
    <xdr:to>
      <xdr:col>15</xdr:col>
      <xdr:colOff>347330</xdr:colOff>
      <xdr:row>17</xdr:row>
      <xdr:rowOff>72655</xdr:rowOff>
    </xdr:to>
    <xdr:sp macro="" textlink="">
      <xdr:nvSpPr>
        <xdr:cNvPr id="17" name="Rectangle: Rounded Corners 16">
          <a:extLst>
            <a:ext uri="{FF2B5EF4-FFF2-40B4-BE49-F238E27FC236}">
              <a16:creationId xmlns:a16="http://schemas.microsoft.com/office/drawing/2014/main" id="{A738016E-9636-4F69-8912-B65F06D59F0D}"/>
            </a:ext>
          </a:extLst>
        </xdr:cNvPr>
        <xdr:cNvSpPr/>
      </xdr:nvSpPr>
      <xdr:spPr>
        <a:xfrm>
          <a:off x="8463516" y="3014330"/>
          <a:ext cx="1054395" cy="221511"/>
        </a:xfrm>
        <a:prstGeom prst="roundRect">
          <a:avLst/>
        </a:prstGeom>
        <a:solidFill>
          <a:schemeClr val="tx1">
            <a:alpha val="4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168350</xdr:colOff>
      <xdr:row>5</xdr:row>
      <xdr:rowOff>72477</xdr:rowOff>
    </xdr:from>
    <xdr:to>
      <xdr:col>5</xdr:col>
      <xdr:colOff>445681</xdr:colOff>
      <xdr:row>6</xdr:row>
      <xdr:rowOff>106325</xdr:rowOff>
    </xdr:to>
    <xdr:sp macro="" textlink="">
      <xdr:nvSpPr>
        <xdr:cNvPr id="18" name="Rectangle: Rounded Corners 17">
          <a:extLst>
            <a:ext uri="{FF2B5EF4-FFF2-40B4-BE49-F238E27FC236}">
              <a16:creationId xmlns:a16="http://schemas.microsoft.com/office/drawing/2014/main" id="{04A4D2DE-05D6-401E-B798-76BC27462CF3}"/>
            </a:ext>
          </a:extLst>
        </xdr:cNvPr>
        <xdr:cNvSpPr/>
      </xdr:nvSpPr>
      <xdr:spPr>
        <a:xfrm>
          <a:off x="2002466" y="1002826"/>
          <a:ext cx="1500075" cy="219918"/>
        </a:xfrm>
        <a:prstGeom prst="roundRect">
          <a:avLst/>
        </a:prstGeom>
        <a:solidFill>
          <a:schemeClr val="tx1">
            <a:alpha val="4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8860</xdr:colOff>
      <xdr:row>5</xdr:row>
      <xdr:rowOff>70884</xdr:rowOff>
    </xdr:from>
    <xdr:to>
      <xdr:col>12</xdr:col>
      <xdr:colOff>194930</xdr:colOff>
      <xdr:row>6</xdr:row>
      <xdr:rowOff>106325</xdr:rowOff>
    </xdr:to>
    <xdr:sp macro="" textlink="">
      <xdr:nvSpPr>
        <xdr:cNvPr id="22" name="Rectangle: Rounded Corners 21">
          <a:extLst>
            <a:ext uri="{FF2B5EF4-FFF2-40B4-BE49-F238E27FC236}">
              <a16:creationId xmlns:a16="http://schemas.microsoft.com/office/drawing/2014/main" id="{7DE3B282-3BBB-4D9D-9A2F-3F47ADBA80F3}"/>
            </a:ext>
          </a:extLst>
        </xdr:cNvPr>
        <xdr:cNvSpPr/>
      </xdr:nvSpPr>
      <xdr:spPr>
        <a:xfrm>
          <a:off x="4899837" y="1001233"/>
          <a:ext cx="2631558" cy="221511"/>
        </a:xfrm>
        <a:prstGeom prst="roundRect">
          <a:avLst/>
        </a:prstGeom>
        <a:solidFill>
          <a:schemeClr val="tx1">
            <a:alpha val="4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115186</xdr:colOff>
      <xdr:row>5</xdr:row>
      <xdr:rowOff>72477</xdr:rowOff>
    </xdr:from>
    <xdr:to>
      <xdr:col>22</xdr:col>
      <xdr:colOff>29240</xdr:colOff>
      <xdr:row>6</xdr:row>
      <xdr:rowOff>106325</xdr:rowOff>
    </xdr:to>
    <xdr:sp macro="" textlink="">
      <xdr:nvSpPr>
        <xdr:cNvPr id="23" name="Rectangle: Rounded Corners 22">
          <a:extLst>
            <a:ext uri="{FF2B5EF4-FFF2-40B4-BE49-F238E27FC236}">
              <a16:creationId xmlns:a16="http://schemas.microsoft.com/office/drawing/2014/main" id="{052D8B4E-6C2C-4C2E-A133-95A12A5A0073}"/>
            </a:ext>
          </a:extLst>
        </xdr:cNvPr>
        <xdr:cNvSpPr/>
      </xdr:nvSpPr>
      <xdr:spPr>
        <a:xfrm>
          <a:off x="11731256" y="1002826"/>
          <a:ext cx="1748170" cy="219918"/>
        </a:xfrm>
        <a:prstGeom prst="roundRect">
          <a:avLst/>
        </a:prstGeom>
        <a:solidFill>
          <a:schemeClr val="tx1">
            <a:alpha val="4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124046</xdr:colOff>
      <xdr:row>19</xdr:row>
      <xdr:rowOff>72477</xdr:rowOff>
    </xdr:from>
    <xdr:to>
      <xdr:col>20</xdr:col>
      <xdr:colOff>374796</xdr:colOff>
      <xdr:row>20</xdr:row>
      <xdr:rowOff>106326</xdr:rowOff>
    </xdr:to>
    <xdr:sp macro="" textlink="">
      <xdr:nvSpPr>
        <xdr:cNvPr id="24" name="Rectangle: Rounded Corners 23">
          <a:extLst>
            <a:ext uri="{FF2B5EF4-FFF2-40B4-BE49-F238E27FC236}">
              <a16:creationId xmlns:a16="http://schemas.microsoft.com/office/drawing/2014/main" id="{0D81B962-F712-4FE2-98A8-E9F32E64A0C7}"/>
            </a:ext>
          </a:extLst>
        </xdr:cNvPr>
        <xdr:cNvSpPr/>
      </xdr:nvSpPr>
      <xdr:spPr>
        <a:xfrm>
          <a:off x="11740116" y="3607803"/>
          <a:ext cx="862122" cy="219918"/>
        </a:xfrm>
        <a:prstGeom prst="roundRect">
          <a:avLst/>
        </a:prstGeom>
        <a:solidFill>
          <a:schemeClr val="tx1">
            <a:alpha val="4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150628</xdr:colOff>
      <xdr:row>5</xdr:row>
      <xdr:rowOff>35443</xdr:rowOff>
    </xdr:from>
    <xdr:to>
      <xdr:col>5</xdr:col>
      <xdr:colOff>505046</xdr:colOff>
      <xdr:row>7</xdr:row>
      <xdr:rowOff>88606</xdr:rowOff>
    </xdr:to>
    <xdr:sp macro="" textlink="">
      <xdr:nvSpPr>
        <xdr:cNvPr id="4" name="TextBox 3">
          <a:extLst>
            <a:ext uri="{FF2B5EF4-FFF2-40B4-BE49-F238E27FC236}">
              <a16:creationId xmlns:a16="http://schemas.microsoft.com/office/drawing/2014/main" id="{E45E5C1B-B2DF-4691-AFC9-F62BFAD8F162}"/>
            </a:ext>
          </a:extLst>
        </xdr:cNvPr>
        <xdr:cNvSpPr txBox="1"/>
      </xdr:nvSpPr>
      <xdr:spPr>
        <a:xfrm>
          <a:off x="1984744" y="965792"/>
          <a:ext cx="1577162" cy="425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effectLst>
                <a:glow>
                  <a:schemeClr val="accent1">
                    <a:alpha val="40000"/>
                  </a:schemeClr>
                </a:glow>
              </a:effectLst>
              <a:latin typeface="Cavolini" panose="03000802040302020204" pitchFamily="66" charset="0"/>
              <a:cs typeface="Cavolini" panose="03000802040302020204" pitchFamily="66" charset="0"/>
            </a:rPr>
            <a:t>Sex Ratio per 1000</a:t>
          </a:r>
        </a:p>
      </xdr:txBody>
    </xdr:sp>
    <xdr:clientData/>
  </xdr:twoCellAnchor>
  <xdr:twoCellAnchor>
    <xdr:from>
      <xdr:col>8</xdr:col>
      <xdr:colOff>17720</xdr:colOff>
      <xdr:row>15</xdr:row>
      <xdr:rowOff>175969</xdr:rowOff>
    </xdr:from>
    <xdr:to>
      <xdr:col>9</xdr:col>
      <xdr:colOff>522767</xdr:colOff>
      <xdr:row>18</xdr:row>
      <xdr:rowOff>43062</xdr:rowOff>
    </xdr:to>
    <xdr:sp macro="" textlink="">
      <xdr:nvSpPr>
        <xdr:cNvPr id="25" name="TextBox 24">
          <a:extLst>
            <a:ext uri="{FF2B5EF4-FFF2-40B4-BE49-F238E27FC236}">
              <a16:creationId xmlns:a16="http://schemas.microsoft.com/office/drawing/2014/main" id="{73B3A239-9CBD-413F-B1E3-71CEC50B2FEA}"/>
            </a:ext>
          </a:extLst>
        </xdr:cNvPr>
        <xdr:cNvSpPr txBox="1"/>
      </xdr:nvSpPr>
      <xdr:spPr>
        <a:xfrm>
          <a:off x="4908697" y="2967016"/>
          <a:ext cx="1116419" cy="425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effectLst>
                <a:glow>
                  <a:schemeClr val="accent1">
                    <a:alpha val="40000"/>
                  </a:schemeClr>
                </a:glow>
              </a:effectLst>
              <a:latin typeface="Cavolini" panose="03000802040302020204" pitchFamily="66" charset="0"/>
              <a:cs typeface="Cavolini" panose="03000802040302020204" pitchFamily="66" charset="0"/>
            </a:rPr>
            <a:t>Birth</a:t>
          </a:r>
          <a:r>
            <a:rPr lang="en-IN" sz="1100" b="1" baseline="0">
              <a:solidFill>
                <a:schemeClr val="bg1"/>
              </a:solidFill>
              <a:effectLst>
                <a:glow>
                  <a:schemeClr val="accent1">
                    <a:alpha val="40000"/>
                  </a:schemeClr>
                </a:glow>
              </a:effectLst>
              <a:latin typeface="Cavolini" panose="03000802040302020204" pitchFamily="66" charset="0"/>
              <a:cs typeface="Cavolini" panose="03000802040302020204" pitchFamily="66" charset="0"/>
            </a:rPr>
            <a:t> Rates</a:t>
          </a:r>
          <a:endParaRPr lang="en-IN" sz="1100" b="1">
            <a:solidFill>
              <a:schemeClr val="bg1"/>
            </a:solidFill>
            <a:effectLst>
              <a:glow>
                <a:schemeClr val="accent1">
                  <a:alpha val="40000"/>
                </a:schemeClr>
              </a:glow>
            </a:effectLst>
            <a:latin typeface="Cavolini" panose="03000802040302020204" pitchFamily="66" charset="0"/>
            <a:cs typeface="Cavolini" panose="03000802040302020204" pitchFamily="66" charset="0"/>
          </a:endParaRPr>
        </a:p>
      </xdr:txBody>
    </xdr:sp>
    <xdr:clientData/>
  </xdr:twoCellAnchor>
  <xdr:twoCellAnchor>
    <xdr:from>
      <xdr:col>13</xdr:col>
      <xdr:colOff>487326</xdr:colOff>
      <xdr:row>15</xdr:row>
      <xdr:rowOff>184829</xdr:rowOff>
    </xdr:from>
    <xdr:to>
      <xdr:col>15</xdr:col>
      <xdr:colOff>381001</xdr:colOff>
      <xdr:row>18</xdr:row>
      <xdr:rowOff>51922</xdr:rowOff>
    </xdr:to>
    <xdr:sp macro="" textlink="">
      <xdr:nvSpPr>
        <xdr:cNvPr id="26" name="TextBox 25">
          <a:extLst>
            <a:ext uri="{FF2B5EF4-FFF2-40B4-BE49-F238E27FC236}">
              <a16:creationId xmlns:a16="http://schemas.microsoft.com/office/drawing/2014/main" id="{C434E8D4-1B23-423A-9825-1A227E5126A3}"/>
            </a:ext>
          </a:extLst>
        </xdr:cNvPr>
        <xdr:cNvSpPr txBox="1"/>
      </xdr:nvSpPr>
      <xdr:spPr>
        <a:xfrm>
          <a:off x="8435163" y="2975876"/>
          <a:ext cx="1116419" cy="425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effectLst>
                <a:glow>
                  <a:schemeClr val="accent1">
                    <a:alpha val="40000"/>
                  </a:schemeClr>
                </a:glow>
              </a:effectLst>
              <a:latin typeface="Cavolini" panose="03000802040302020204" pitchFamily="66" charset="0"/>
              <a:cs typeface="Cavolini" panose="03000802040302020204" pitchFamily="66" charset="0"/>
            </a:rPr>
            <a:t>Death</a:t>
          </a:r>
          <a:r>
            <a:rPr lang="en-IN" sz="1100" b="1" baseline="0">
              <a:solidFill>
                <a:schemeClr val="bg1"/>
              </a:solidFill>
              <a:effectLst>
                <a:glow>
                  <a:schemeClr val="accent1">
                    <a:alpha val="40000"/>
                  </a:schemeClr>
                </a:glow>
              </a:effectLst>
              <a:latin typeface="Cavolini" panose="03000802040302020204" pitchFamily="66" charset="0"/>
              <a:cs typeface="Cavolini" panose="03000802040302020204" pitchFamily="66" charset="0"/>
            </a:rPr>
            <a:t> Rates</a:t>
          </a:r>
          <a:endParaRPr lang="en-IN" sz="1100" b="1">
            <a:solidFill>
              <a:schemeClr val="bg1"/>
            </a:solidFill>
            <a:effectLst>
              <a:glow>
                <a:schemeClr val="accent1">
                  <a:alpha val="40000"/>
                </a:schemeClr>
              </a:glow>
            </a:effectLst>
            <a:latin typeface="Cavolini" panose="03000802040302020204" pitchFamily="66" charset="0"/>
            <a:cs typeface="Cavolini" panose="03000802040302020204" pitchFamily="66" charset="0"/>
          </a:endParaRPr>
        </a:p>
      </xdr:txBody>
    </xdr:sp>
    <xdr:clientData/>
  </xdr:twoCellAnchor>
  <xdr:twoCellAnchor>
    <xdr:from>
      <xdr:col>7</xdr:col>
      <xdr:colOff>584792</xdr:colOff>
      <xdr:row>5</xdr:row>
      <xdr:rowOff>43063</xdr:rowOff>
    </xdr:from>
    <xdr:to>
      <xdr:col>12</xdr:col>
      <xdr:colOff>345559</xdr:colOff>
      <xdr:row>7</xdr:row>
      <xdr:rowOff>96226</xdr:rowOff>
    </xdr:to>
    <xdr:sp macro="" textlink="">
      <xdr:nvSpPr>
        <xdr:cNvPr id="27" name="TextBox 26">
          <a:extLst>
            <a:ext uri="{FF2B5EF4-FFF2-40B4-BE49-F238E27FC236}">
              <a16:creationId xmlns:a16="http://schemas.microsoft.com/office/drawing/2014/main" id="{ED44A07F-AE90-4048-87A6-C4D8513A35AE}"/>
            </a:ext>
          </a:extLst>
        </xdr:cNvPr>
        <xdr:cNvSpPr txBox="1"/>
      </xdr:nvSpPr>
      <xdr:spPr>
        <a:xfrm>
          <a:off x="4864397" y="973412"/>
          <a:ext cx="2817627" cy="425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baseline="0">
              <a:solidFill>
                <a:schemeClr val="bg1"/>
              </a:solidFill>
              <a:effectLst>
                <a:glow>
                  <a:schemeClr val="accent1">
                    <a:alpha val="40000"/>
                  </a:schemeClr>
                </a:glow>
              </a:effectLst>
              <a:latin typeface="Cavolini" panose="03000802040302020204" pitchFamily="66" charset="0"/>
              <a:cs typeface="Cavolini" panose="03000802040302020204" pitchFamily="66" charset="0"/>
            </a:rPr>
            <a:t>Gender wise change in population</a:t>
          </a:r>
          <a:endParaRPr lang="en-IN" sz="1100" b="1">
            <a:solidFill>
              <a:schemeClr val="bg1"/>
            </a:solidFill>
            <a:effectLst>
              <a:glow>
                <a:schemeClr val="accent1">
                  <a:alpha val="40000"/>
                </a:schemeClr>
              </a:glow>
            </a:effectLst>
            <a:latin typeface="Cavolini" panose="03000802040302020204" pitchFamily="66" charset="0"/>
            <a:cs typeface="Cavolini" panose="03000802040302020204" pitchFamily="66" charset="0"/>
          </a:endParaRPr>
        </a:p>
      </xdr:txBody>
    </xdr:sp>
    <xdr:clientData/>
  </xdr:twoCellAnchor>
  <xdr:twoCellAnchor>
    <xdr:from>
      <xdr:col>19</xdr:col>
      <xdr:colOff>70884</xdr:colOff>
      <xdr:row>5</xdr:row>
      <xdr:rowOff>46073</xdr:rowOff>
    </xdr:from>
    <xdr:to>
      <xdr:col>22</xdr:col>
      <xdr:colOff>72656</xdr:colOff>
      <xdr:row>7</xdr:row>
      <xdr:rowOff>99236</xdr:rowOff>
    </xdr:to>
    <xdr:sp macro="" textlink="">
      <xdr:nvSpPr>
        <xdr:cNvPr id="28" name="TextBox 27">
          <a:extLst>
            <a:ext uri="{FF2B5EF4-FFF2-40B4-BE49-F238E27FC236}">
              <a16:creationId xmlns:a16="http://schemas.microsoft.com/office/drawing/2014/main" id="{81069878-55DE-4E33-A3D3-BB044B6F343D}"/>
            </a:ext>
          </a:extLst>
        </xdr:cNvPr>
        <xdr:cNvSpPr txBox="1"/>
      </xdr:nvSpPr>
      <xdr:spPr>
        <a:xfrm>
          <a:off x="11686954" y="976422"/>
          <a:ext cx="1835888" cy="425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effectLst>
                <a:glow>
                  <a:schemeClr val="accent1">
                    <a:alpha val="40000"/>
                  </a:schemeClr>
                </a:glow>
              </a:effectLst>
              <a:latin typeface="Cavolini" panose="03000802040302020204" pitchFamily="66" charset="0"/>
              <a:cs typeface="Cavolini" panose="03000802040302020204" pitchFamily="66" charset="0"/>
            </a:rPr>
            <a:t>Demographic</a:t>
          </a:r>
          <a:r>
            <a:rPr lang="en-IN" sz="1100" b="1" baseline="0">
              <a:solidFill>
                <a:schemeClr val="bg1"/>
              </a:solidFill>
              <a:effectLst>
                <a:glow>
                  <a:schemeClr val="accent1">
                    <a:alpha val="40000"/>
                  </a:schemeClr>
                </a:glow>
              </a:effectLst>
              <a:latin typeface="Cavolini" panose="03000802040302020204" pitchFamily="66" charset="0"/>
              <a:cs typeface="Cavolini" panose="03000802040302020204" pitchFamily="66" charset="0"/>
            </a:rPr>
            <a:t> Pyramid</a:t>
          </a:r>
          <a:endParaRPr lang="en-IN" sz="1100" b="1">
            <a:solidFill>
              <a:schemeClr val="bg1"/>
            </a:solidFill>
            <a:effectLst>
              <a:glow>
                <a:schemeClr val="accent1">
                  <a:alpha val="40000"/>
                </a:schemeClr>
              </a:glow>
            </a:effectLst>
            <a:latin typeface="Cavolini" panose="03000802040302020204" pitchFamily="66" charset="0"/>
            <a:cs typeface="Cavolini" panose="03000802040302020204" pitchFamily="66" charset="0"/>
          </a:endParaRPr>
        </a:p>
      </xdr:txBody>
    </xdr:sp>
    <xdr:clientData/>
  </xdr:twoCellAnchor>
  <xdr:twoCellAnchor>
    <xdr:from>
      <xdr:col>19</xdr:col>
      <xdr:colOff>97464</xdr:colOff>
      <xdr:row>19</xdr:row>
      <xdr:rowOff>43063</xdr:rowOff>
    </xdr:from>
    <xdr:to>
      <xdr:col>20</xdr:col>
      <xdr:colOff>443023</xdr:colOff>
      <xdr:row>21</xdr:row>
      <xdr:rowOff>96226</xdr:rowOff>
    </xdr:to>
    <xdr:sp macro="" textlink="">
      <xdr:nvSpPr>
        <xdr:cNvPr id="29" name="TextBox 28">
          <a:extLst>
            <a:ext uri="{FF2B5EF4-FFF2-40B4-BE49-F238E27FC236}">
              <a16:creationId xmlns:a16="http://schemas.microsoft.com/office/drawing/2014/main" id="{8DD60EB7-5D4A-4EA4-A9AA-89F74FCCCA14}"/>
            </a:ext>
          </a:extLst>
        </xdr:cNvPr>
        <xdr:cNvSpPr txBox="1"/>
      </xdr:nvSpPr>
      <xdr:spPr>
        <a:xfrm>
          <a:off x="11713534" y="3578389"/>
          <a:ext cx="956931" cy="425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effectLst>
                <a:glow>
                  <a:schemeClr val="accent1">
                    <a:alpha val="40000"/>
                  </a:schemeClr>
                </a:glow>
              </a:effectLst>
              <a:latin typeface="Cavolini" panose="03000802040302020204" pitchFamily="66" charset="0"/>
              <a:cs typeface="Cavolini" panose="03000802040302020204" pitchFamily="66" charset="0"/>
            </a:rPr>
            <a:t>Age</a:t>
          </a:r>
          <a:r>
            <a:rPr lang="en-IN" sz="1100" b="1" baseline="0">
              <a:solidFill>
                <a:schemeClr val="bg1"/>
              </a:solidFill>
              <a:effectLst>
                <a:glow>
                  <a:schemeClr val="accent1">
                    <a:alpha val="40000"/>
                  </a:schemeClr>
                </a:glow>
              </a:effectLst>
              <a:latin typeface="Cavolini" panose="03000802040302020204" pitchFamily="66" charset="0"/>
              <a:cs typeface="Cavolini" panose="03000802040302020204" pitchFamily="66" charset="0"/>
            </a:rPr>
            <a:t> Share</a:t>
          </a:r>
          <a:endParaRPr lang="en-IN" sz="1100" b="1">
            <a:solidFill>
              <a:schemeClr val="bg1"/>
            </a:solidFill>
            <a:effectLst>
              <a:glow>
                <a:schemeClr val="accent1">
                  <a:alpha val="40000"/>
                </a:schemeClr>
              </a:glow>
            </a:effectLst>
            <a:latin typeface="Cavolini" panose="03000802040302020204" pitchFamily="66" charset="0"/>
            <a:cs typeface="Cavolini" panose="03000802040302020204" pitchFamily="66" charset="0"/>
          </a:endParaRPr>
        </a:p>
      </xdr:txBody>
    </xdr:sp>
    <xdr:clientData/>
  </xdr:twoCellAnchor>
  <xdr:twoCellAnchor editAs="oneCell">
    <xdr:from>
      <xdr:col>2</xdr:col>
      <xdr:colOff>531628</xdr:colOff>
      <xdr:row>5</xdr:row>
      <xdr:rowOff>60784</xdr:rowOff>
    </xdr:from>
    <xdr:to>
      <xdr:col>3</xdr:col>
      <xdr:colOff>124047</xdr:colOff>
      <xdr:row>6</xdr:row>
      <xdr:rowOff>78505</xdr:rowOff>
    </xdr:to>
    <xdr:pic>
      <xdr:nvPicPr>
        <xdr:cNvPr id="41" name="Graphic 40" descr="Information outline">
          <a:extLst>
            <a:ext uri="{FF2B5EF4-FFF2-40B4-BE49-F238E27FC236}">
              <a16:creationId xmlns:a16="http://schemas.microsoft.com/office/drawing/2014/main" id="{288801BA-0C0E-46ED-B453-FA892145D9F2}"/>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754372" y="991133"/>
          <a:ext cx="203791" cy="203791"/>
        </a:xfrm>
        <a:prstGeom prst="rect">
          <a:avLst/>
        </a:prstGeom>
      </xdr:spPr>
    </xdr:pic>
    <xdr:clientData/>
  </xdr:twoCellAnchor>
  <xdr:twoCellAnchor editAs="oneCell">
    <xdr:from>
      <xdr:col>7</xdr:col>
      <xdr:colOff>248091</xdr:colOff>
      <xdr:row>5</xdr:row>
      <xdr:rowOff>44303</xdr:rowOff>
    </xdr:from>
    <xdr:to>
      <xdr:col>7</xdr:col>
      <xdr:colOff>434161</xdr:colOff>
      <xdr:row>6</xdr:row>
      <xdr:rowOff>44303</xdr:rowOff>
    </xdr:to>
    <xdr:pic macro="[0]!Sheet1.Display">
      <xdr:nvPicPr>
        <xdr:cNvPr id="43" name="Info_button_unactive_a" descr="Information with solid fill">
          <a:extLst>
            <a:ext uri="{FF2B5EF4-FFF2-40B4-BE49-F238E27FC236}">
              <a16:creationId xmlns:a16="http://schemas.microsoft.com/office/drawing/2014/main" id="{6FA25E91-0A9B-4A32-9DE2-A5079762D683}"/>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4527696" y="974652"/>
          <a:ext cx="186070" cy="186070"/>
        </a:xfrm>
        <a:prstGeom prst="rect">
          <a:avLst/>
        </a:prstGeom>
      </xdr:spPr>
    </xdr:pic>
    <xdr:clientData/>
  </xdr:twoCellAnchor>
  <xdr:twoCellAnchor editAs="oneCell">
    <xdr:from>
      <xdr:col>7</xdr:col>
      <xdr:colOff>248093</xdr:colOff>
      <xdr:row>5</xdr:row>
      <xdr:rowOff>43063</xdr:rowOff>
    </xdr:from>
    <xdr:to>
      <xdr:col>7</xdr:col>
      <xdr:colOff>434163</xdr:colOff>
      <xdr:row>6</xdr:row>
      <xdr:rowOff>43063</xdr:rowOff>
    </xdr:to>
    <xdr:pic macro="[0]!Sheet1.Hide">
      <xdr:nvPicPr>
        <xdr:cNvPr id="49" name="Info_button_active_a" descr="Information with solid fill" hidden="1">
          <a:extLst>
            <a:ext uri="{FF2B5EF4-FFF2-40B4-BE49-F238E27FC236}">
              <a16:creationId xmlns:a16="http://schemas.microsoft.com/office/drawing/2014/main" id="{B15B5380-4775-4037-A443-F0586A58A03D}"/>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4527698" y="973412"/>
          <a:ext cx="186070" cy="186070"/>
        </a:xfrm>
        <a:prstGeom prst="rect">
          <a:avLst/>
        </a:prstGeom>
      </xdr:spPr>
    </xdr:pic>
    <xdr:clientData/>
  </xdr:twoCellAnchor>
  <xdr:twoCellAnchor>
    <xdr:from>
      <xdr:col>5</xdr:col>
      <xdr:colOff>8861</xdr:colOff>
      <xdr:row>6</xdr:row>
      <xdr:rowOff>88604</xdr:rowOff>
    </xdr:from>
    <xdr:to>
      <xdr:col>7</xdr:col>
      <xdr:colOff>469604</xdr:colOff>
      <xdr:row>10</xdr:row>
      <xdr:rowOff>35441</xdr:rowOff>
    </xdr:to>
    <xdr:grpSp>
      <xdr:nvGrpSpPr>
        <xdr:cNvPr id="55" name="Info_box_a" hidden="1">
          <a:extLst>
            <a:ext uri="{FF2B5EF4-FFF2-40B4-BE49-F238E27FC236}">
              <a16:creationId xmlns:a16="http://schemas.microsoft.com/office/drawing/2014/main" id="{EB77FCF5-4F99-4B9C-A9D2-68D547808A90}"/>
            </a:ext>
          </a:extLst>
        </xdr:cNvPr>
        <xdr:cNvGrpSpPr/>
      </xdr:nvGrpSpPr>
      <xdr:grpSpPr>
        <a:xfrm>
          <a:off x="3065721" y="1205023"/>
          <a:ext cx="1683488" cy="691116"/>
          <a:chOff x="3083442" y="1213883"/>
          <a:chExt cx="1683488" cy="691116"/>
        </a:xfrm>
      </xdr:grpSpPr>
      <xdr:sp macro="" textlink="">
        <xdr:nvSpPr>
          <xdr:cNvPr id="52" name="Rectangle: Rounded Corners 51" hidden="1">
            <a:extLst>
              <a:ext uri="{FF2B5EF4-FFF2-40B4-BE49-F238E27FC236}">
                <a16:creationId xmlns:a16="http://schemas.microsoft.com/office/drawing/2014/main" id="{AB536727-00B0-41D4-85C8-21FB4F2C8DE1}"/>
              </a:ext>
            </a:extLst>
          </xdr:cNvPr>
          <xdr:cNvSpPr/>
        </xdr:nvSpPr>
        <xdr:spPr>
          <a:xfrm>
            <a:off x="3127744" y="1213883"/>
            <a:ext cx="1594884" cy="637953"/>
          </a:xfrm>
          <a:prstGeom prst="roundRect">
            <a:avLst>
              <a:gd name="adj" fmla="val 22917"/>
            </a:avLst>
          </a:prstGeom>
          <a:solidFill>
            <a:schemeClr val="bg1">
              <a:alpha val="50000"/>
            </a:schemeClr>
          </a:solidFill>
          <a:ln>
            <a:noFill/>
          </a:ln>
          <a:effectLst>
            <a:glow>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3" name="TextBox 52" hidden="1">
            <a:extLst>
              <a:ext uri="{FF2B5EF4-FFF2-40B4-BE49-F238E27FC236}">
                <a16:creationId xmlns:a16="http://schemas.microsoft.com/office/drawing/2014/main" id="{B3AE96FA-79FA-4EF4-8989-D9D29E213F01}"/>
              </a:ext>
            </a:extLst>
          </xdr:cNvPr>
          <xdr:cNvSpPr txBox="1"/>
        </xdr:nvSpPr>
        <xdr:spPr>
          <a:xfrm>
            <a:off x="3083442" y="1249323"/>
            <a:ext cx="1683488" cy="655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50">
                <a:latin typeface="Cavolini" panose="03000802040302020204" pitchFamily="66" charset="0"/>
                <a:cs typeface="Cavolini" panose="03000802040302020204" pitchFamily="66" charset="0"/>
              </a:rPr>
              <a:t>The</a:t>
            </a:r>
            <a:r>
              <a:rPr lang="en-IN" sz="1050" baseline="0">
                <a:latin typeface="Cavolini" panose="03000802040302020204" pitchFamily="66" charset="0"/>
                <a:cs typeface="Cavolini" panose="03000802040302020204" pitchFamily="66" charset="0"/>
              </a:rPr>
              <a:t> bars show yearly data for women per 1000 men.</a:t>
            </a:r>
            <a:endParaRPr lang="en-IN" sz="1050">
              <a:latin typeface="Cavolini" panose="03000802040302020204" pitchFamily="66" charset="0"/>
              <a:cs typeface="Cavolini" panose="03000802040302020204" pitchFamily="66" charset="0"/>
            </a:endParaRPr>
          </a:p>
        </xdr:txBody>
      </xdr:sp>
    </xdr:grpSp>
    <xdr:clientData/>
  </xdr:twoCellAnchor>
  <xdr:twoCellAnchor editAs="oneCell">
    <xdr:from>
      <xdr:col>23</xdr:col>
      <xdr:colOff>435933</xdr:colOff>
      <xdr:row>5</xdr:row>
      <xdr:rowOff>44301</xdr:rowOff>
    </xdr:from>
    <xdr:to>
      <xdr:col>24</xdr:col>
      <xdr:colOff>11761</xdr:colOff>
      <xdr:row>6</xdr:row>
      <xdr:rowOff>45431</xdr:rowOff>
    </xdr:to>
    <xdr:pic macro="[0]!Sheet1.Display_e">
      <xdr:nvPicPr>
        <xdr:cNvPr id="60" name="Info_button_unactive_e" descr="Information with solid fill">
          <a:extLst>
            <a:ext uri="{FF2B5EF4-FFF2-40B4-BE49-F238E27FC236}">
              <a16:creationId xmlns:a16="http://schemas.microsoft.com/office/drawing/2014/main" id="{26E3389C-ECEF-47E4-B72E-97F6E71868F7}"/>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4497491" y="974650"/>
          <a:ext cx="187200" cy="187200"/>
        </a:xfrm>
        <a:prstGeom prst="rect">
          <a:avLst/>
        </a:prstGeom>
      </xdr:spPr>
    </xdr:pic>
    <xdr:clientData/>
  </xdr:twoCellAnchor>
  <xdr:twoCellAnchor editAs="oneCell">
    <xdr:from>
      <xdr:col>13</xdr:col>
      <xdr:colOff>118730</xdr:colOff>
      <xdr:row>15</xdr:row>
      <xdr:rowOff>175967</xdr:rowOff>
    </xdr:from>
    <xdr:to>
      <xdr:col>13</xdr:col>
      <xdr:colOff>305930</xdr:colOff>
      <xdr:row>16</xdr:row>
      <xdr:rowOff>177098</xdr:rowOff>
    </xdr:to>
    <xdr:pic macro="[0]!Sheet1.Display_c">
      <xdr:nvPicPr>
        <xdr:cNvPr id="63" name="Info_button_unactive_c" descr="Information with solid fill">
          <a:extLst>
            <a:ext uri="{FF2B5EF4-FFF2-40B4-BE49-F238E27FC236}">
              <a16:creationId xmlns:a16="http://schemas.microsoft.com/office/drawing/2014/main" id="{7E493A4F-6712-42B6-9B97-EFCC63D2304D}"/>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8066567" y="2967014"/>
          <a:ext cx="187200" cy="187200"/>
        </a:xfrm>
        <a:prstGeom prst="rect">
          <a:avLst/>
        </a:prstGeom>
      </xdr:spPr>
    </xdr:pic>
    <xdr:clientData/>
  </xdr:twoCellAnchor>
  <xdr:twoCellAnchor editAs="oneCell">
    <xdr:from>
      <xdr:col>18</xdr:col>
      <xdr:colOff>342543</xdr:colOff>
      <xdr:row>5</xdr:row>
      <xdr:rowOff>50149</xdr:rowOff>
    </xdr:from>
    <xdr:to>
      <xdr:col>18</xdr:col>
      <xdr:colOff>529743</xdr:colOff>
      <xdr:row>6</xdr:row>
      <xdr:rowOff>51279</xdr:rowOff>
    </xdr:to>
    <xdr:pic macro="[0]!Sheet1.Display_b">
      <xdr:nvPicPr>
        <xdr:cNvPr id="70" name="Info_button_unactive_b" descr="Information with solid fill">
          <a:extLst>
            <a:ext uri="{FF2B5EF4-FFF2-40B4-BE49-F238E27FC236}">
              <a16:creationId xmlns:a16="http://schemas.microsoft.com/office/drawing/2014/main" id="{378C8A7C-A0CD-490A-8028-61C7E9CE8AD8}"/>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1347241" y="980498"/>
          <a:ext cx="187200" cy="187200"/>
        </a:xfrm>
        <a:prstGeom prst="rect">
          <a:avLst/>
        </a:prstGeom>
      </xdr:spPr>
    </xdr:pic>
    <xdr:clientData/>
  </xdr:twoCellAnchor>
  <xdr:twoCellAnchor editAs="oneCell">
    <xdr:from>
      <xdr:col>23</xdr:col>
      <xdr:colOff>430618</xdr:colOff>
      <xdr:row>19</xdr:row>
      <xdr:rowOff>18250</xdr:rowOff>
    </xdr:from>
    <xdr:to>
      <xdr:col>24</xdr:col>
      <xdr:colOff>6446</xdr:colOff>
      <xdr:row>20</xdr:row>
      <xdr:rowOff>19381</xdr:rowOff>
    </xdr:to>
    <xdr:pic macro="[0]!Sheet1.Display_f">
      <xdr:nvPicPr>
        <xdr:cNvPr id="71" name="Info_button_unactive_f" descr="Information with solid fill">
          <a:extLst>
            <a:ext uri="{FF2B5EF4-FFF2-40B4-BE49-F238E27FC236}">
              <a16:creationId xmlns:a16="http://schemas.microsoft.com/office/drawing/2014/main" id="{6D700D36-A68C-4780-A783-BEB4AFE10795}"/>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4492176" y="3553576"/>
          <a:ext cx="187200" cy="187200"/>
        </a:xfrm>
        <a:prstGeom prst="rect">
          <a:avLst/>
        </a:prstGeom>
      </xdr:spPr>
    </xdr:pic>
    <xdr:clientData/>
  </xdr:twoCellAnchor>
  <xdr:twoCellAnchor editAs="oneCell">
    <xdr:from>
      <xdr:col>18</xdr:col>
      <xdr:colOff>352646</xdr:colOff>
      <xdr:row>15</xdr:row>
      <xdr:rowOff>179511</xdr:rowOff>
    </xdr:from>
    <xdr:to>
      <xdr:col>18</xdr:col>
      <xdr:colOff>539846</xdr:colOff>
      <xdr:row>16</xdr:row>
      <xdr:rowOff>180642</xdr:rowOff>
    </xdr:to>
    <xdr:pic macro="[0]!Sheet1.Display_d">
      <xdr:nvPicPr>
        <xdr:cNvPr id="72" name="Info_button_unactive_d" descr="Information with solid fill">
          <a:extLst>
            <a:ext uri="{FF2B5EF4-FFF2-40B4-BE49-F238E27FC236}">
              <a16:creationId xmlns:a16="http://schemas.microsoft.com/office/drawing/2014/main" id="{AA7ED949-257D-4217-9148-1F0A7DDA9F34}"/>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1357344" y="2970558"/>
          <a:ext cx="187200" cy="187200"/>
        </a:xfrm>
        <a:prstGeom prst="rect">
          <a:avLst/>
        </a:prstGeom>
      </xdr:spPr>
    </xdr:pic>
    <xdr:clientData/>
  </xdr:twoCellAnchor>
  <xdr:twoCellAnchor editAs="oneCell">
    <xdr:from>
      <xdr:col>18</xdr:col>
      <xdr:colOff>344315</xdr:colOff>
      <xdr:row>5</xdr:row>
      <xdr:rowOff>51921</xdr:rowOff>
    </xdr:from>
    <xdr:to>
      <xdr:col>18</xdr:col>
      <xdr:colOff>531515</xdr:colOff>
      <xdr:row>6</xdr:row>
      <xdr:rowOff>53051</xdr:rowOff>
    </xdr:to>
    <xdr:pic macro="[0]!Sheet1.Hide_b">
      <xdr:nvPicPr>
        <xdr:cNvPr id="73" name="Info_button_active_b" descr="Information with solid fill" hidden="1">
          <a:extLst>
            <a:ext uri="{FF2B5EF4-FFF2-40B4-BE49-F238E27FC236}">
              <a16:creationId xmlns:a16="http://schemas.microsoft.com/office/drawing/2014/main" id="{0C398D84-569E-48A1-9B6F-B9FDB1CC2108}"/>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1349013" y="982270"/>
          <a:ext cx="187200" cy="187200"/>
        </a:xfrm>
        <a:prstGeom prst="rect">
          <a:avLst/>
        </a:prstGeom>
      </xdr:spPr>
    </xdr:pic>
    <xdr:clientData/>
  </xdr:twoCellAnchor>
  <xdr:twoCellAnchor>
    <xdr:from>
      <xdr:col>16</xdr:col>
      <xdr:colOff>141767</xdr:colOff>
      <xdr:row>6</xdr:row>
      <xdr:rowOff>62022</xdr:rowOff>
    </xdr:from>
    <xdr:to>
      <xdr:col>18</xdr:col>
      <xdr:colOff>549347</xdr:colOff>
      <xdr:row>11</xdr:row>
      <xdr:rowOff>177210</xdr:rowOff>
    </xdr:to>
    <xdr:grpSp>
      <xdr:nvGrpSpPr>
        <xdr:cNvPr id="76" name="Info_box_b" hidden="1">
          <a:extLst>
            <a:ext uri="{FF2B5EF4-FFF2-40B4-BE49-F238E27FC236}">
              <a16:creationId xmlns:a16="http://schemas.microsoft.com/office/drawing/2014/main" id="{5443A664-59B5-4525-9289-5843351A8FF4}"/>
            </a:ext>
          </a:extLst>
        </xdr:cNvPr>
        <xdr:cNvGrpSpPr/>
      </xdr:nvGrpSpPr>
      <xdr:grpSpPr>
        <a:xfrm>
          <a:off x="9923720" y="1178441"/>
          <a:ext cx="1630325" cy="1045536"/>
          <a:chOff x="9923720" y="1178441"/>
          <a:chExt cx="1630325" cy="1045536"/>
        </a:xfrm>
      </xdr:grpSpPr>
      <xdr:sp macro="" textlink="">
        <xdr:nvSpPr>
          <xdr:cNvPr id="74" name="Rectangle: Rounded Corners 73" hidden="1">
            <a:extLst>
              <a:ext uri="{FF2B5EF4-FFF2-40B4-BE49-F238E27FC236}">
                <a16:creationId xmlns:a16="http://schemas.microsoft.com/office/drawing/2014/main" id="{67BF4D8E-443C-45D5-B1B1-31F2AEA4F119}"/>
              </a:ext>
            </a:extLst>
          </xdr:cNvPr>
          <xdr:cNvSpPr/>
        </xdr:nvSpPr>
        <xdr:spPr>
          <a:xfrm>
            <a:off x="9959162" y="1178441"/>
            <a:ext cx="1577163" cy="1018953"/>
          </a:xfrm>
          <a:prstGeom prst="roundRect">
            <a:avLst>
              <a:gd name="adj" fmla="val 19318"/>
            </a:avLst>
          </a:prstGeom>
          <a:solidFill>
            <a:schemeClr val="bg1">
              <a:alpha val="8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5" name="TextBox 74" hidden="1">
            <a:extLst>
              <a:ext uri="{FF2B5EF4-FFF2-40B4-BE49-F238E27FC236}">
                <a16:creationId xmlns:a16="http://schemas.microsoft.com/office/drawing/2014/main" id="{5A04ED23-6ED3-459D-ACFC-9C01E9BD3429}"/>
              </a:ext>
            </a:extLst>
          </xdr:cNvPr>
          <xdr:cNvSpPr txBox="1"/>
        </xdr:nvSpPr>
        <xdr:spPr>
          <a:xfrm>
            <a:off x="9923720" y="1231604"/>
            <a:ext cx="1630325" cy="9923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a:latin typeface="Cavolini" panose="03000802040302020204" pitchFamily="66" charset="0"/>
                <a:cs typeface="Cavolini" panose="03000802040302020204" pitchFamily="66" charset="0"/>
              </a:rPr>
              <a:t>The</a:t>
            </a:r>
            <a:r>
              <a:rPr lang="en-IN" sz="1100" baseline="0">
                <a:latin typeface="Cavolini" panose="03000802040302020204" pitchFamily="66" charset="0"/>
                <a:cs typeface="Cavolini" panose="03000802040302020204" pitchFamily="66" charset="0"/>
              </a:rPr>
              <a:t> red line shows change for females whereas the white line shows change for males</a:t>
            </a:r>
            <a:endParaRPr lang="en-IN" sz="1100">
              <a:latin typeface="Cavolini" panose="03000802040302020204" pitchFamily="66" charset="0"/>
              <a:cs typeface="Cavolini" panose="03000802040302020204" pitchFamily="66" charset="0"/>
            </a:endParaRPr>
          </a:p>
        </xdr:txBody>
      </xdr:sp>
    </xdr:grpSp>
    <xdr:clientData/>
  </xdr:twoCellAnchor>
  <xdr:twoCellAnchor editAs="oneCell">
    <xdr:from>
      <xdr:col>13</xdr:col>
      <xdr:colOff>120503</xdr:colOff>
      <xdr:row>15</xdr:row>
      <xdr:rowOff>177739</xdr:rowOff>
    </xdr:from>
    <xdr:to>
      <xdr:col>13</xdr:col>
      <xdr:colOff>307703</xdr:colOff>
      <xdr:row>16</xdr:row>
      <xdr:rowOff>178870</xdr:rowOff>
    </xdr:to>
    <xdr:pic macro="[0]!Sheet1.Hide_c">
      <xdr:nvPicPr>
        <xdr:cNvPr id="77" name="Info_button_active_c" descr="Information with solid fill" hidden="1">
          <a:extLst>
            <a:ext uri="{FF2B5EF4-FFF2-40B4-BE49-F238E27FC236}">
              <a16:creationId xmlns:a16="http://schemas.microsoft.com/office/drawing/2014/main" id="{E652E274-1C4B-43D9-926D-2B63225E5EAF}"/>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8068340" y="2968786"/>
          <a:ext cx="187200" cy="187200"/>
        </a:xfrm>
        <a:prstGeom prst="rect">
          <a:avLst/>
        </a:prstGeom>
      </xdr:spPr>
    </xdr:pic>
    <xdr:clientData/>
  </xdr:twoCellAnchor>
  <xdr:twoCellAnchor>
    <xdr:from>
      <xdr:col>10</xdr:col>
      <xdr:colOff>522767</xdr:colOff>
      <xdr:row>17</xdr:row>
      <xdr:rowOff>8858</xdr:rowOff>
    </xdr:from>
    <xdr:to>
      <xdr:col>13</xdr:col>
      <xdr:colOff>301257</xdr:colOff>
      <xdr:row>22</xdr:row>
      <xdr:rowOff>124046</xdr:rowOff>
    </xdr:to>
    <xdr:grpSp>
      <xdr:nvGrpSpPr>
        <xdr:cNvPr id="80" name="Info_box_c" hidden="1">
          <a:extLst>
            <a:ext uri="{FF2B5EF4-FFF2-40B4-BE49-F238E27FC236}">
              <a16:creationId xmlns:a16="http://schemas.microsoft.com/office/drawing/2014/main" id="{F0A4AD56-4058-4746-8C62-0039FAADF118}"/>
            </a:ext>
          </a:extLst>
        </xdr:cNvPr>
        <xdr:cNvGrpSpPr/>
      </xdr:nvGrpSpPr>
      <xdr:grpSpPr>
        <a:xfrm>
          <a:off x="6636488" y="3172044"/>
          <a:ext cx="1612606" cy="1045537"/>
          <a:chOff x="6636488" y="3172044"/>
          <a:chExt cx="1612606" cy="1045537"/>
        </a:xfrm>
      </xdr:grpSpPr>
      <xdr:sp macro="" textlink="">
        <xdr:nvSpPr>
          <xdr:cNvPr id="78" name="Rectangle: Rounded Corners 77" hidden="1">
            <a:extLst>
              <a:ext uri="{FF2B5EF4-FFF2-40B4-BE49-F238E27FC236}">
                <a16:creationId xmlns:a16="http://schemas.microsoft.com/office/drawing/2014/main" id="{6B9CB2B4-9857-4878-937B-740F22B97AD5}"/>
              </a:ext>
            </a:extLst>
          </xdr:cNvPr>
          <xdr:cNvSpPr/>
        </xdr:nvSpPr>
        <xdr:spPr>
          <a:xfrm>
            <a:off x="6680791" y="3172048"/>
            <a:ext cx="1559442" cy="948068"/>
          </a:xfrm>
          <a:prstGeom prst="round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9" name="TextBox 78" hidden="1">
            <a:extLst>
              <a:ext uri="{FF2B5EF4-FFF2-40B4-BE49-F238E27FC236}">
                <a16:creationId xmlns:a16="http://schemas.microsoft.com/office/drawing/2014/main" id="{781BF013-496D-43BF-AD8D-500FF7C7AD75}"/>
              </a:ext>
            </a:extLst>
          </xdr:cNvPr>
          <xdr:cNvSpPr txBox="1"/>
        </xdr:nvSpPr>
        <xdr:spPr>
          <a:xfrm>
            <a:off x="6636488" y="3172044"/>
            <a:ext cx="1612606" cy="10455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a:latin typeface="Cavolini" panose="03000802040302020204" pitchFamily="66" charset="0"/>
                <a:cs typeface="Cavolini" panose="03000802040302020204" pitchFamily="66" charset="0"/>
              </a:rPr>
              <a:t>The</a:t>
            </a:r>
            <a:r>
              <a:rPr lang="en-IN" sz="1100" baseline="0">
                <a:latin typeface="Cavolini" panose="03000802040302020204" pitchFamily="66" charset="0"/>
                <a:cs typeface="Cavolini" panose="03000802040302020204" pitchFamily="66" charset="0"/>
              </a:rPr>
              <a:t> ray represents birth rates whereas the bars show change in births per year</a:t>
            </a:r>
            <a:endParaRPr lang="en-IN" sz="1100">
              <a:latin typeface="Cavolini" panose="03000802040302020204" pitchFamily="66" charset="0"/>
              <a:cs typeface="Cavolini" panose="03000802040302020204" pitchFamily="66" charset="0"/>
            </a:endParaRPr>
          </a:p>
        </xdr:txBody>
      </xdr:sp>
    </xdr:grpSp>
    <xdr:clientData/>
  </xdr:twoCellAnchor>
  <xdr:twoCellAnchor editAs="oneCell">
    <xdr:from>
      <xdr:col>18</xdr:col>
      <xdr:colOff>357076</xdr:colOff>
      <xdr:row>15</xdr:row>
      <xdr:rowOff>178803</xdr:rowOff>
    </xdr:from>
    <xdr:to>
      <xdr:col>18</xdr:col>
      <xdr:colOff>544276</xdr:colOff>
      <xdr:row>16</xdr:row>
      <xdr:rowOff>179934</xdr:rowOff>
    </xdr:to>
    <xdr:pic macro="[0]!Sheet1.Hide_d">
      <xdr:nvPicPr>
        <xdr:cNvPr id="81" name="Info_button_active_d" descr="Information with solid fill" hidden="1">
          <a:extLst>
            <a:ext uri="{FF2B5EF4-FFF2-40B4-BE49-F238E27FC236}">
              <a16:creationId xmlns:a16="http://schemas.microsoft.com/office/drawing/2014/main" id="{50BF18DA-7047-4C2F-8872-DD6AA21CCE03}"/>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1361774" y="2969850"/>
          <a:ext cx="187200" cy="187200"/>
        </a:xfrm>
        <a:prstGeom prst="rect">
          <a:avLst/>
        </a:prstGeom>
      </xdr:spPr>
    </xdr:pic>
    <xdr:clientData/>
  </xdr:twoCellAnchor>
  <xdr:twoCellAnchor>
    <xdr:from>
      <xdr:col>16</xdr:col>
      <xdr:colOff>168349</xdr:colOff>
      <xdr:row>17</xdr:row>
      <xdr:rowOff>17720</xdr:rowOff>
    </xdr:from>
    <xdr:to>
      <xdr:col>18</xdr:col>
      <xdr:colOff>531627</xdr:colOff>
      <xdr:row>22</xdr:row>
      <xdr:rowOff>150628</xdr:rowOff>
    </xdr:to>
    <xdr:grpSp>
      <xdr:nvGrpSpPr>
        <xdr:cNvPr id="84" name="Info_box_d" hidden="1">
          <a:extLst>
            <a:ext uri="{FF2B5EF4-FFF2-40B4-BE49-F238E27FC236}">
              <a16:creationId xmlns:a16="http://schemas.microsoft.com/office/drawing/2014/main" id="{62D02A6A-3FB4-41A7-822A-F3B024E363BA}"/>
            </a:ext>
          </a:extLst>
        </xdr:cNvPr>
        <xdr:cNvGrpSpPr/>
      </xdr:nvGrpSpPr>
      <xdr:grpSpPr>
        <a:xfrm>
          <a:off x="9950302" y="3180906"/>
          <a:ext cx="1586023" cy="1063257"/>
          <a:chOff x="9950302" y="3180906"/>
          <a:chExt cx="1586023" cy="1063257"/>
        </a:xfrm>
      </xdr:grpSpPr>
      <xdr:sp macro="" textlink="">
        <xdr:nvSpPr>
          <xdr:cNvPr id="82" name="Rectangle: Rounded Corners 81" hidden="1">
            <a:extLst>
              <a:ext uri="{FF2B5EF4-FFF2-40B4-BE49-F238E27FC236}">
                <a16:creationId xmlns:a16="http://schemas.microsoft.com/office/drawing/2014/main" id="{E843B9FD-2150-4076-9170-A04E0ADE4624}"/>
              </a:ext>
            </a:extLst>
          </xdr:cNvPr>
          <xdr:cNvSpPr/>
        </xdr:nvSpPr>
        <xdr:spPr>
          <a:xfrm>
            <a:off x="9950302" y="3180907"/>
            <a:ext cx="1586023" cy="965792"/>
          </a:xfrm>
          <a:prstGeom prst="round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3" name="TextBox 82" hidden="1">
            <a:extLst>
              <a:ext uri="{FF2B5EF4-FFF2-40B4-BE49-F238E27FC236}">
                <a16:creationId xmlns:a16="http://schemas.microsoft.com/office/drawing/2014/main" id="{B012C3A6-E94E-4793-90C9-748767BF89E2}"/>
              </a:ext>
            </a:extLst>
          </xdr:cNvPr>
          <xdr:cNvSpPr txBox="1"/>
        </xdr:nvSpPr>
        <xdr:spPr>
          <a:xfrm>
            <a:off x="9950302" y="3180906"/>
            <a:ext cx="1577163" cy="10632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a:latin typeface="Cavolini" panose="03000802040302020204" pitchFamily="66" charset="0"/>
                <a:cs typeface="Cavolini" panose="03000802040302020204" pitchFamily="66" charset="0"/>
              </a:rPr>
              <a:t>The</a:t>
            </a:r>
            <a:r>
              <a:rPr lang="en-IN" sz="1100" baseline="0">
                <a:latin typeface="Cavolini" panose="03000802040302020204" pitchFamily="66" charset="0"/>
                <a:cs typeface="Cavolini" panose="03000802040302020204" pitchFamily="66" charset="0"/>
              </a:rPr>
              <a:t> ray represents death rate whereas the bars show change in deaths per year  </a:t>
            </a:r>
            <a:endParaRPr lang="en-IN" sz="1100">
              <a:latin typeface="Cavolini" panose="03000802040302020204" pitchFamily="66" charset="0"/>
              <a:cs typeface="Cavolini" panose="03000802040302020204" pitchFamily="66" charset="0"/>
            </a:endParaRPr>
          </a:p>
        </xdr:txBody>
      </xdr:sp>
    </xdr:grpSp>
    <xdr:clientData/>
  </xdr:twoCellAnchor>
  <xdr:twoCellAnchor editAs="oneCell">
    <xdr:from>
      <xdr:col>23</xdr:col>
      <xdr:colOff>428845</xdr:colOff>
      <xdr:row>5</xdr:row>
      <xdr:rowOff>46073</xdr:rowOff>
    </xdr:from>
    <xdr:to>
      <xdr:col>24</xdr:col>
      <xdr:colOff>4673</xdr:colOff>
      <xdr:row>6</xdr:row>
      <xdr:rowOff>47203</xdr:rowOff>
    </xdr:to>
    <xdr:pic macro="[0]!Sheet1.Hide_e">
      <xdr:nvPicPr>
        <xdr:cNvPr id="85" name="Info_button_active_e" descr="Information with solid fill" hidden="1">
          <a:extLst>
            <a:ext uri="{FF2B5EF4-FFF2-40B4-BE49-F238E27FC236}">
              <a16:creationId xmlns:a16="http://schemas.microsoft.com/office/drawing/2014/main" id="{A994FA77-7BD1-4D40-8036-1CE603E41D84}"/>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4490403" y="976422"/>
          <a:ext cx="187200" cy="187200"/>
        </a:xfrm>
        <a:prstGeom prst="rect">
          <a:avLst/>
        </a:prstGeom>
      </xdr:spPr>
    </xdr:pic>
    <xdr:clientData/>
  </xdr:twoCellAnchor>
  <xdr:twoCellAnchor editAs="oneCell">
    <xdr:from>
      <xdr:col>23</xdr:col>
      <xdr:colOff>432391</xdr:colOff>
      <xdr:row>19</xdr:row>
      <xdr:rowOff>20022</xdr:rowOff>
    </xdr:from>
    <xdr:to>
      <xdr:col>24</xdr:col>
      <xdr:colOff>8219</xdr:colOff>
      <xdr:row>20</xdr:row>
      <xdr:rowOff>21153</xdr:rowOff>
    </xdr:to>
    <xdr:pic macro="[0]!Sheet1.Hide_f">
      <xdr:nvPicPr>
        <xdr:cNvPr id="86" name="Info_button_active_f" descr="Information with solid fill" hidden="1">
          <a:extLst>
            <a:ext uri="{FF2B5EF4-FFF2-40B4-BE49-F238E27FC236}">
              <a16:creationId xmlns:a16="http://schemas.microsoft.com/office/drawing/2014/main" id="{866B38FB-625F-42A7-9C24-3BBC71A1BB94}"/>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4493949" y="3555348"/>
          <a:ext cx="187200" cy="187200"/>
        </a:xfrm>
        <a:prstGeom prst="rect">
          <a:avLst/>
        </a:prstGeom>
      </xdr:spPr>
    </xdr:pic>
    <xdr:clientData/>
  </xdr:twoCellAnchor>
  <xdr:twoCellAnchor>
    <xdr:from>
      <xdr:col>21</xdr:col>
      <xdr:colOff>345557</xdr:colOff>
      <xdr:row>6</xdr:row>
      <xdr:rowOff>62023</xdr:rowOff>
    </xdr:from>
    <xdr:to>
      <xdr:col>23</xdr:col>
      <xdr:colOff>602512</xdr:colOff>
      <xdr:row>12</xdr:row>
      <xdr:rowOff>17721</xdr:rowOff>
    </xdr:to>
    <xdr:grpSp>
      <xdr:nvGrpSpPr>
        <xdr:cNvPr id="90" name="Info_box_e" hidden="1">
          <a:extLst>
            <a:ext uri="{FF2B5EF4-FFF2-40B4-BE49-F238E27FC236}">
              <a16:creationId xmlns:a16="http://schemas.microsoft.com/office/drawing/2014/main" id="{EFCCB204-41ED-4665-B2F6-91C2CA5B65E5}"/>
            </a:ext>
          </a:extLst>
        </xdr:cNvPr>
        <xdr:cNvGrpSpPr/>
      </xdr:nvGrpSpPr>
      <xdr:grpSpPr>
        <a:xfrm>
          <a:off x="13184371" y="1178442"/>
          <a:ext cx="1479699" cy="1072116"/>
          <a:chOff x="13184371" y="1178442"/>
          <a:chExt cx="1479699" cy="1072116"/>
        </a:xfrm>
      </xdr:grpSpPr>
      <xdr:sp macro="" textlink="">
        <xdr:nvSpPr>
          <xdr:cNvPr id="87" name="Rectangle: Rounded Corners 86" hidden="1">
            <a:extLst>
              <a:ext uri="{FF2B5EF4-FFF2-40B4-BE49-F238E27FC236}">
                <a16:creationId xmlns:a16="http://schemas.microsoft.com/office/drawing/2014/main" id="{1884230B-EFE6-42B0-AD06-70901A33F2F3}"/>
              </a:ext>
            </a:extLst>
          </xdr:cNvPr>
          <xdr:cNvSpPr/>
        </xdr:nvSpPr>
        <xdr:spPr>
          <a:xfrm>
            <a:off x="13184371" y="1178442"/>
            <a:ext cx="1479699" cy="1018953"/>
          </a:xfrm>
          <a:prstGeom prst="roundRect">
            <a:avLst/>
          </a:prstGeom>
          <a:solidFill>
            <a:schemeClr val="bg1">
              <a:alpha val="8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8" name="TextBox 87" hidden="1">
            <a:extLst>
              <a:ext uri="{FF2B5EF4-FFF2-40B4-BE49-F238E27FC236}">
                <a16:creationId xmlns:a16="http://schemas.microsoft.com/office/drawing/2014/main" id="{E6CD8CD0-8359-4E71-8D07-78BD273C880E}"/>
              </a:ext>
            </a:extLst>
          </xdr:cNvPr>
          <xdr:cNvSpPr txBox="1"/>
        </xdr:nvSpPr>
        <xdr:spPr>
          <a:xfrm>
            <a:off x="13184372" y="1213884"/>
            <a:ext cx="1479698" cy="1036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a:latin typeface="Cavolini" panose="03000802040302020204" pitchFamily="66" charset="0"/>
                <a:cs typeface="Cavolini" panose="03000802040302020204" pitchFamily="66" charset="0"/>
              </a:rPr>
              <a:t>Red</a:t>
            </a:r>
            <a:r>
              <a:rPr lang="en-IN" sz="1100" baseline="0">
                <a:latin typeface="Cavolini" panose="03000802040302020204" pitchFamily="66" charset="0"/>
                <a:cs typeface="Cavolini" panose="03000802040302020204" pitchFamily="66" charset="0"/>
              </a:rPr>
              <a:t> bars shows male population while white bars show female population</a:t>
            </a:r>
            <a:endParaRPr lang="en-IN" sz="1100">
              <a:latin typeface="Cavolini" panose="03000802040302020204" pitchFamily="66" charset="0"/>
              <a:cs typeface="Cavolini" panose="03000802040302020204" pitchFamily="66" charset="0"/>
            </a:endParaRPr>
          </a:p>
        </xdr:txBody>
      </xdr:sp>
    </xdr:grpSp>
    <xdr:clientData/>
  </xdr:twoCellAnchor>
  <xdr:twoCellAnchor>
    <xdr:from>
      <xdr:col>21</xdr:col>
      <xdr:colOff>301256</xdr:colOff>
      <xdr:row>20</xdr:row>
      <xdr:rowOff>44303</xdr:rowOff>
    </xdr:from>
    <xdr:to>
      <xdr:col>24</xdr:col>
      <xdr:colOff>0</xdr:colOff>
      <xdr:row>24</xdr:row>
      <xdr:rowOff>115185</xdr:rowOff>
    </xdr:to>
    <xdr:grpSp>
      <xdr:nvGrpSpPr>
        <xdr:cNvPr id="93" name="Info_box_f" hidden="1">
          <a:extLst>
            <a:ext uri="{FF2B5EF4-FFF2-40B4-BE49-F238E27FC236}">
              <a16:creationId xmlns:a16="http://schemas.microsoft.com/office/drawing/2014/main" id="{E24E0480-8B16-479E-9A91-A110F377DA9D}"/>
            </a:ext>
          </a:extLst>
        </xdr:cNvPr>
        <xdr:cNvGrpSpPr/>
      </xdr:nvGrpSpPr>
      <xdr:grpSpPr>
        <a:xfrm>
          <a:off x="13140070" y="3765698"/>
          <a:ext cx="1532860" cy="815161"/>
          <a:chOff x="13140070" y="3765698"/>
          <a:chExt cx="1532860" cy="815161"/>
        </a:xfrm>
      </xdr:grpSpPr>
      <xdr:sp macro="" textlink="">
        <xdr:nvSpPr>
          <xdr:cNvPr id="91" name="Rectangle: Rounded Corners 90" hidden="1">
            <a:extLst>
              <a:ext uri="{FF2B5EF4-FFF2-40B4-BE49-F238E27FC236}">
                <a16:creationId xmlns:a16="http://schemas.microsoft.com/office/drawing/2014/main" id="{A36E87A3-1142-449E-804D-96ACBB3F613A}"/>
              </a:ext>
            </a:extLst>
          </xdr:cNvPr>
          <xdr:cNvSpPr/>
        </xdr:nvSpPr>
        <xdr:spPr>
          <a:xfrm>
            <a:off x="13148930" y="3765699"/>
            <a:ext cx="1524000" cy="806302"/>
          </a:xfrm>
          <a:prstGeom prst="round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2" name="TextBox 91" hidden="1">
            <a:extLst>
              <a:ext uri="{FF2B5EF4-FFF2-40B4-BE49-F238E27FC236}">
                <a16:creationId xmlns:a16="http://schemas.microsoft.com/office/drawing/2014/main" id="{B14C8846-5B5C-49B9-A173-0F849A7D15E0}"/>
              </a:ext>
            </a:extLst>
          </xdr:cNvPr>
          <xdr:cNvSpPr txBox="1"/>
        </xdr:nvSpPr>
        <xdr:spPr>
          <a:xfrm>
            <a:off x="13140070" y="3765698"/>
            <a:ext cx="1524000" cy="8151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a:latin typeface="Cavolini" panose="03000802040302020204" pitchFamily="66" charset="0"/>
                <a:cs typeface="Cavolini" panose="03000802040302020204" pitchFamily="66" charset="0"/>
              </a:rPr>
              <a:t>Different</a:t>
            </a:r>
            <a:r>
              <a:rPr lang="en-IN" sz="1100" baseline="0">
                <a:latin typeface="Cavolini" panose="03000802040302020204" pitchFamily="66" charset="0"/>
                <a:cs typeface="Cavolini" panose="03000802040302020204" pitchFamily="66" charset="0"/>
              </a:rPr>
              <a:t> palettes show different age group percentage</a:t>
            </a:r>
            <a:endParaRPr lang="en-IN" sz="1100">
              <a:latin typeface="Cavolini" panose="03000802040302020204" pitchFamily="66" charset="0"/>
              <a:cs typeface="Cavolini" panose="03000802040302020204" pitchFamily="66" charset="0"/>
            </a:endParaRPr>
          </a:p>
        </xdr:txBody>
      </xdr:sp>
    </xdr:grpSp>
    <xdr:clientData/>
  </xdr:twoCellAnchor>
  <xdr:twoCellAnchor editAs="oneCell">
    <xdr:from>
      <xdr:col>4</xdr:col>
      <xdr:colOff>62023</xdr:colOff>
      <xdr:row>0</xdr:row>
      <xdr:rowOff>158249</xdr:rowOff>
    </xdr:from>
    <xdr:to>
      <xdr:col>4</xdr:col>
      <xdr:colOff>494023</xdr:colOff>
      <xdr:row>3</xdr:row>
      <xdr:rowOff>32040</xdr:rowOff>
    </xdr:to>
    <xdr:pic>
      <xdr:nvPicPr>
        <xdr:cNvPr id="61" name="Graphic 60" descr="&#10;">
          <a:hlinkClick xmlns:r="http://schemas.openxmlformats.org/officeDocument/2006/relationships" r:id="rId16"/>
          <a:extLst>
            <a:ext uri="{FF2B5EF4-FFF2-40B4-BE49-F238E27FC236}">
              <a16:creationId xmlns:a16="http://schemas.microsoft.com/office/drawing/2014/main" id="{92786D76-0329-4C8A-B76E-46705B11DE45}"/>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2507511" y="158249"/>
          <a:ext cx="432000" cy="432000"/>
        </a:xfrm>
        <a:prstGeom prst="rect">
          <a:avLst/>
        </a:prstGeom>
        <a:effectLst>
          <a:glow>
            <a:schemeClr val="bg1"/>
          </a:glow>
        </a:effectLst>
      </xdr:spPr>
    </xdr:pic>
    <xdr:clientData/>
  </xdr:twoCellAnchor>
  <xdr:twoCellAnchor editAs="oneCell">
    <xdr:from>
      <xdr:col>3</xdr:col>
      <xdr:colOff>106327</xdr:colOff>
      <xdr:row>0</xdr:row>
      <xdr:rowOff>132907</xdr:rowOff>
    </xdr:from>
    <xdr:to>
      <xdr:col>3</xdr:col>
      <xdr:colOff>538327</xdr:colOff>
      <xdr:row>3</xdr:row>
      <xdr:rowOff>6698</xdr:rowOff>
    </xdr:to>
    <xdr:pic>
      <xdr:nvPicPr>
        <xdr:cNvPr id="31" name="Graphic 30" descr="Bar chart with solid fill">
          <a:hlinkClick xmlns:r="http://schemas.openxmlformats.org/officeDocument/2006/relationships" r:id="rId19"/>
          <a:extLst>
            <a:ext uri="{FF2B5EF4-FFF2-40B4-BE49-F238E27FC236}">
              <a16:creationId xmlns:a16="http://schemas.microsoft.com/office/drawing/2014/main" id="{050BE011-862B-42C6-9B6C-373624219D8A}"/>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940443" y="132907"/>
          <a:ext cx="432000" cy="432000"/>
        </a:xfrm>
        <a:prstGeom prst="rect">
          <a:avLst/>
        </a:prstGeom>
      </xdr:spPr>
    </xdr:pic>
    <xdr:clientData/>
  </xdr:twoCellAnchor>
  <xdr:twoCellAnchor editAs="oneCell">
    <xdr:from>
      <xdr:col>5</xdr:col>
      <xdr:colOff>0</xdr:colOff>
      <xdr:row>1</xdr:row>
      <xdr:rowOff>35440</xdr:rowOff>
    </xdr:from>
    <xdr:to>
      <xdr:col>5</xdr:col>
      <xdr:colOff>432000</xdr:colOff>
      <xdr:row>3</xdr:row>
      <xdr:rowOff>95301</xdr:rowOff>
    </xdr:to>
    <xdr:pic>
      <xdr:nvPicPr>
        <xdr:cNvPr id="33" name="Graphic 32" descr="Folder Search with solid fill">
          <a:hlinkClick xmlns:r="http://schemas.openxmlformats.org/officeDocument/2006/relationships" r:id="rId22"/>
          <a:extLst>
            <a:ext uri="{FF2B5EF4-FFF2-40B4-BE49-F238E27FC236}">
              <a16:creationId xmlns:a16="http://schemas.microsoft.com/office/drawing/2014/main" id="{858B7129-2902-4E8A-AFA3-98F431E3B75B}"/>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3056860" y="221510"/>
          <a:ext cx="432000" cy="432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32</xdr:col>
      <xdr:colOff>290945</xdr:colOff>
      <xdr:row>2</xdr:row>
      <xdr:rowOff>13855</xdr:rowOff>
    </xdr:from>
    <xdr:to>
      <xdr:col>41</xdr:col>
      <xdr:colOff>290945</xdr:colOff>
      <xdr:row>21</xdr:row>
      <xdr:rowOff>13855</xdr:rowOff>
    </xdr:to>
    <xdr:graphicFrame macro="">
      <xdr:nvGraphicFramePr>
        <xdr:cNvPr id="2" name="Chart 1">
          <a:extLst>
            <a:ext uri="{FF2B5EF4-FFF2-40B4-BE49-F238E27FC236}">
              <a16:creationId xmlns:a16="http://schemas.microsoft.com/office/drawing/2014/main" id="{B2C33C29-5B3E-4589-8535-FC04CD886C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263236</xdr:colOff>
      <xdr:row>44</xdr:row>
      <xdr:rowOff>164176</xdr:rowOff>
    </xdr:from>
    <xdr:to>
      <xdr:col>23</xdr:col>
      <xdr:colOff>235526</xdr:colOff>
      <xdr:row>54</xdr:row>
      <xdr:rowOff>114421</xdr:rowOff>
    </xdr:to>
    <mc:AlternateContent xmlns:mc="http://schemas.openxmlformats.org/markup-compatibility/2006" xmlns:a14="http://schemas.microsoft.com/office/drawing/2010/main">
      <mc:Choice Requires="a14">
        <xdr:graphicFrame macro="">
          <xdr:nvGraphicFramePr>
            <xdr:cNvPr id="3" name="Country Name">
              <a:extLst>
                <a:ext uri="{FF2B5EF4-FFF2-40B4-BE49-F238E27FC236}">
                  <a16:creationId xmlns:a16="http://schemas.microsoft.com/office/drawing/2014/main" id="{8800C396-823B-4C46-83D7-466C3F307092}"/>
                </a:ext>
              </a:extLst>
            </xdr:cNvPr>
            <xdr:cNvGraphicFramePr/>
          </xdr:nvGraphicFramePr>
          <xdr:xfrm>
            <a:off x="0" y="0"/>
            <a:ext cx="0" cy="0"/>
          </xdr:xfrm>
          <a:graphic>
            <a:graphicData uri="http://schemas.microsoft.com/office/drawing/2010/slicer">
              <sle:slicer xmlns:sle="http://schemas.microsoft.com/office/drawing/2010/slicer" name="Country Name"/>
            </a:graphicData>
          </a:graphic>
        </xdr:graphicFrame>
      </mc:Choice>
      <mc:Fallback xmlns="">
        <xdr:sp macro="" textlink="">
          <xdr:nvSpPr>
            <xdr:cNvPr id="0" name=""/>
            <xdr:cNvSpPr>
              <a:spLocks noTextEdit="1"/>
            </xdr:cNvSpPr>
          </xdr:nvSpPr>
          <xdr:spPr>
            <a:xfrm>
              <a:off x="10044545" y="7908867"/>
              <a:ext cx="4239490" cy="175133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33</xdr:col>
      <xdr:colOff>193964</xdr:colOff>
      <xdr:row>45</xdr:row>
      <xdr:rowOff>1</xdr:rowOff>
    </xdr:from>
    <xdr:to>
      <xdr:col>40</xdr:col>
      <xdr:colOff>180108</xdr:colOff>
      <xdr:row>54</xdr:row>
      <xdr:rowOff>53340</xdr:rowOff>
    </xdr:to>
    <mc:AlternateContent xmlns:mc="http://schemas.openxmlformats.org/markup-compatibility/2006" xmlns:a14="http://schemas.microsoft.com/office/drawing/2010/main">
      <mc:Choice Requires="a14">
        <xdr:graphicFrame macro="">
          <xdr:nvGraphicFramePr>
            <xdr:cNvPr id="4" name="Year">
              <a:extLst>
                <a:ext uri="{FF2B5EF4-FFF2-40B4-BE49-F238E27FC236}">
                  <a16:creationId xmlns:a16="http://schemas.microsoft.com/office/drawing/2014/main" id="{A7BD3355-8706-4C5B-B174-7DD309441CCD}"/>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0338473" y="7924801"/>
              <a:ext cx="4253344" cy="167432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0</xdr:colOff>
      <xdr:row>2</xdr:row>
      <xdr:rowOff>13855</xdr:rowOff>
    </xdr:from>
    <xdr:to>
      <xdr:col>32</xdr:col>
      <xdr:colOff>277091</xdr:colOff>
      <xdr:row>21</xdr:row>
      <xdr:rowOff>13855</xdr:rowOff>
    </xdr:to>
    <xdr:graphicFrame macro="">
      <xdr:nvGraphicFramePr>
        <xdr:cNvPr id="5" name="Chart 4">
          <a:extLst>
            <a:ext uri="{FF2B5EF4-FFF2-40B4-BE49-F238E27FC236}">
              <a16:creationId xmlns:a16="http://schemas.microsoft.com/office/drawing/2014/main" id="{54CFCAFC-EF00-483B-A1FE-7DA5C986E4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32</xdr:col>
      <xdr:colOff>286054</xdr:colOff>
      <xdr:row>21</xdr:row>
      <xdr:rowOff>27710</xdr:rowOff>
    </xdr:from>
    <xdr:to>
      <xdr:col>41</xdr:col>
      <xdr:colOff>290945</xdr:colOff>
      <xdr:row>44</xdr:row>
      <xdr:rowOff>27709</xdr:rowOff>
    </xdr:to>
    <xdr:graphicFrame macro="">
      <xdr:nvGraphicFramePr>
        <xdr:cNvPr id="6" name="Chart 5">
          <a:extLst>
            <a:ext uri="{FF2B5EF4-FFF2-40B4-BE49-F238E27FC236}">
              <a16:creationId xmlns:a16="http://schemas.microsoft.com/office/drawing/2014/main" id="{90A0E1D5-890D-4FDE-83A6-4396D2F763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83127</xdr:colOff>
      <xdr:row>21</xdr:row>
      <xdr:rowOff>17928</xdr:rowOff>
    </xdr:from>
    <xdr:to>
      <xdr:col>32</xdr:col>
      <xdr:colOff>277090</xdr:colOff>
      <xdr:row>44</xdr:row>
      <xdr:rowOff>13855</xdr:rowOff>
    </xdr:to>
    <xdr:graphicFrame macro="">
      <xdr:nvGraphicFramePr>
        <xdr:cNvPr id="7" name="Chart 6">
          <a:extLst>
            <a:ext uri="{FF2B5EF4-FFF2-40B4-BE49-F238E27FC236}">
              <a16:creationId xmlns:a16="http://schemas.microsoft.com/office/drawing/2014/main" id="{DD1CD508-5284-4BF0-B955-1743F80895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729400</xdr:colOff>
      <xdr:row>20</xdr:row>
      <xdr:rowOff>175217</xdr:rowOff>
    </xdr:from>
    <xdr:to>
      <xdr:col>23</xdr:col>
      <xdr:colOff>83127</xdr:colOff>
      <xdr:row>43</xdr:row>
      <xdr:rowOff>180107</xdr:rowOff>
    </xdr:to>
    <xdr:graphicFrame macro="">
      <xdr:nvGraphicFramePr>
        <xdr:cNvPr id="8" name="Chart 7">
          <a:extLst>
            <a:ext uri="{FF2B5EF4-FFF2-40B4-BE49-F238E27FC236}">
              <a16:creationId xmlns:a16="http://schemas.microsoft.com/office/drawing/2014/main" id="{ABE72873-9C12-4DE1-B76D-4D5C404263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415636</xdr:colOff>
      <xdr:row>2</xdr:row>
      <xdr:rowOff>1</xdr:rowOff>
    </xdr:from>
    <xdr:to>
      <xdr:col>13</xdr:col>
      <xdr:colOff>720436</xdr:colOff>
      <xdr:row>44</xdr:row>
      <xdr:rowOff>1</xdr:rowOff>
    </xdr:to>
    <xdr:graphicFrame macro="">
      <xdr:nvGraphicFramePr>
        <xdr:cNvPr id="9" name="Chart 8">
          <a:extLst>
            <a:ext uri="{FF2B5EF4-FFF2-40B4-BE49-F238E27FC236}">
              <a16:creationId xmlns:a16="http://schemas.microsoft.com/office/drawing/2014/main" id="{4008E93A-C945-4832-A0A9-43A8863CE2BC}"/>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ityendra Pratap Singh" refreshedDate="44542.61526377315" createdVersion="7" refreshedVersion="7" minRefreshableVersion="3" recordCount="425" xr:uid="{E6D6C99B-0275-4E39-AFFB-08E75117633F}">
  <cacheSource type="worksheet">
    <worksheetSource name="Dataset"/>
  </cacheSource>
  <cacheFields count="13">
    <cacheField name="Sr No." numFmtId="0">
      <sharedItems containsSemiMixedTypes="0" containsString="0" containsNumber="1" containsInteger="1" minValue="1" maxValue="425"/>
    </cacheField>
    <cacheField name="Country Name" numFmtId="0">
      <sharedItems count="5">
        <s v="India"/>
        <s v="America"/>
        <s v="Japan"/>
        <s v="Iran"/>
        <s v="Germany"/>
      </sharedItems>
    </cacheField>
    <cacheField name="Year" numFmtId="0">
      <sharedItems containsSemiMixedTypes="0" containsString="0" containsNumber="1" containsInteger="1" minValue="2015" maxValue="2019" count="5">
        <n v="2015"/>
        <n v="2016"/>
        <n v="2017"/>
        <n v="2018"/>
        <n v="2019"/>
      </sharedItems>
    </cacheField>
    <cacheField name="Age Group" numFmtId="0">
      <sharedItems count="17">
        <s v="00-04 years"/>
        <s v="05-09 years"/>
        <s v="10-14 years"/>
        <s v="15-19 years"/>
        <s v="20-24 years"/>
        <s v="25-29 years"/>
        <s v="30-34 years"/>
        <s v="35-40 years"/>
        <s v="40-44 years"/>
        <s v="45-49 years"/>
        <s v="50-54 years"/>
        <s v="55-59 years"/>
        <s v="60-64 years"/>
        <s v="65-69 years"/>
        <s v="70-74 years"/>
        <s v="75-79 years"/>
        <s v="80+ years"/>
      </sharedItems>
    </cacheField>
    <cacheField name="Male Population" numFmtId="0">
      <sharedItems containsSemiMixedTypes="0" containsString="0" containsNumber="1" containsInteger="1" minValue="63524" maxValue="67171364"/>
    </cacheField>
    <cacheField name="Female Population" numFmtId="0">
      <sharedItems containsSemiMixedTypes="0" containsString="0" containsNumber="1" containsInteger="1" minValue="99465" maxValue="60230207"/>
    </cacheField>
    <cacheField name="Births" numFmtId="0">
      <sharedItems containsSemiMixedTypes="0" containsString="0" containsNumber="1" containsInteger="1" minValue="0" maxValue="24813844"/>
    </cacheField>
    <cacheField name="Deaths" numFmtId="0">
      <sharedItems containsSemiMixedTypes="0" containsString="0" containsNumber="1" containsInteger="1" minValue="390" maxValue="4481157"/>
    </cacheField>
    <cacheField name="Total Population" numFmtId="0">
      <sharedItems containsSemiMixedTypes="0" containsString="0" containsNumber="1" containsInteger="1" minValue="162989" maxValue="127310641"/>
    </cacheField>
    <cacheField name="Birth Rates" numFmtId="0" formula="Births*1000/'Total Population'" databaseField="0"/>
    <cacheField name="Death rates" numFmtId="0" formula="Deaths*1000/'Total Population'" databaseField="0"/>
    <cacheField name="Sex ratio" numFmtId="0" formula="'Female Population'*1000/'Male Population'" databaseField="0"/>
    <cacheField name="Neg Male Population" numFmtId="0" formula=" -1*'Male Population'" databaseField="0"/>
  </cacheFields>
  <extLst>
    <ext xmlns:x14="http://schemas.microsoft.com/office/spreadsheetml/2009/9/main" uri="{725AE2AE-9491-48be-B2B4-4EB974FC3084}">
      <x14:pivotCacheDefinition pivotCacheId="178124408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5">
  <r>
    <n v="1"/>
    <x v="0"/>
    <x v="0"/>
    <x v="0"/>
    <n v="62365572"/>
    <n v="56617737"/>
    <n v="24813844"/>
    <n v="4166856"/>
    <n v="118983309"/>
  </r>
  <r>
    <n v="2"/>
    <x v="0"/>
    <x v="0"/>
    <x v="1"/>
    <n v="66646490"/>
    <n v="60178746"/>
    <n v="0"/>
    <n v="2864872"/>
    <n v="126825236"/>
  </r>
  <r>
    <n v="3"/>
    <x v="0"/>
    <x v="0"/>
    <x v="2"/>
    <n v="67053640"/>
    <n v="59760885"/>
    <n v="0"/>
    <n v="1043212"/>
    <n v="126814525"/>
  </r>
  <r>
    <n v="4"/>
    <x v="0"/>
    <x v="0"/>
    <x v="3"/>
    <n v="65438170"/>
    <n v="58205670"/>
    <n v="0"/>
    <n v="448821"/>
    <n v="123643840"/>
  </r>
  <r>
    <n v="5"/>
    <x v="0"/>
    <x v="0"/>
    <x v="4"/>
    <n v="62756893"/>
    <n v="55949146"/>
    <n v="0"/>
    <n v="299843"/>
    <n v="118706039"/>
  </r>
  <r>
    <n v="6"/>
    <x v="0"/>
    <x v="0"/>
    <x v="5"/>
    <n v="59663746"/>
    <n v="53820136"/>
    <n v="0"/>
    <n v="233845"/>
    <n v="113483882"/>
  </r>
  <r>
    <n v="7"/>
    <x v="0"/>
    <x v="0"/>
    <x v="6"/>
    <n v="54918049"/>
    <n v="49976467"/>
    <n v="0"/>
    <n v="198992"/>
    <n v="104894516"/>
  </r>
  <r>
    <n v="8"/>
    <x v="0"/>
    <x v="0"/>
    <x v="7"/>
    <n v="47649721"/>
    <n v="44166159"/>
    <n v="0"/>
    <n v="98999"/>
    <n v="91815880"/>
  </r>
  <r>
    <n v="9"/>
    <x v="0"/>
    <x v="0"/>
    <x v="8"/>
    <n v="41950233"/>
    <n v="39371659"/>
    <n v="0"/>
    <n v="84778"/>
    <n v="81321892"/>
  </r>
  <r>
    <n v="10"/>
    <x v="0"/>
    <x v="0"/>
    <x v="9"/>
    <n v="36685165"/>
    <n v="34660631"/>
    <n v="0"/>
    <n v="47689"/>
    <n v="71345796"/>
  </r>
  <r>
    <n v="11"/>
    <x v="0"/>
    <x v="0"/>
    <x v="10"/>
    <n v="32088187"/>
    <n v="30468818"/>
    <n v="0"/>
    <n v="44789"/>
    <n v="62557005"/>
  </r>
  <r>
    <n v="12"/>
    <x v="0"/>
    <x v="0"/>
    <x v="11"/>
    <n v="27051249"/>
    <n v="25936429"/>
    <n v="0"/>
    <n v="34765"/>
    <n v="52987678"/>
  </r>
  <r>
    <n v="13"/>
    <x v="0"/>
    <x v="0"/>
    <x v="12"/>
    <n v="21877501"/>
    <n v="21335021"/>
    <n v="0"/>
    <n v="24312"/>
    <n v="43212522"/>
  </r>
  <r>
    <n v="14"/>
    <x v="0"/>
    <x v="0"/>
    <x v="13"/>
    <n v="14308182"/>
    <n v="14868579"/>
    <n v="0"/>
    <n v="19882"/>
    <n v="29176761"/>
  </r>
  <r>
    <n v="15"/>
    <x v="0"/>
    <x v="0"/>
    <x v="14"/>
    <n v="9411446"/>
    <n v="10545786"/>
    <n v="0"/>
    <n v="4002"/>
    <n v="19957232"/>
  </r>
  <r>
    <n v="16"/>
    <x v="0"/>
    <x v="0"/>
    <x v="15"/>
    <n v="6157964"/>
    <n v="7144301"/>
    <n v="0"/>
    <n v="2139"/>
    <n v="13302265"/>
  </r>
  <r>
    <n v="17"/>
    <x v="0"/>
    <x v="0"/>
    <x v="16"/>
    <n v="4901130"/>
    <n v="5922890"/>
    <n v="0"/>
    <n v="1760"/>
    <n v="10824020"/>
  </r>
  <r>
    <n v="18"/>
    <x v="0"/>
    <x v="1"/>
    <x v="0"/>
    <n v="61298379"/>
    <n v="55600910"/>
    <n v="24656980"/>
    <n v="4146896"/>
    <n v="116899289"/>
  </r>
  <r>
    <n v="19"/>
    <x v="0"/>
    <x v="1"/>
    <x v="1"/>
    <n v="66103259"/>
    <n v="59819505"/>
    <n v="0"/>
    <n v="2952872"/>
    <n v="125922764"/>
  </r>
  <r>
    <n v="20"/>
    <x v="0"/>
    <x v="1"/>
    <x v="2"/>
    <n v="67166339"/>
    <n v="59979187"/>
    <n v="0"/>
    <n v="1142214"/>
    <n v="127145526"/>
  </r>
  <r>
    <n v="21"/>
    <x v="0"/>
    <x v="1"/>
    <x v="3"/>
    <n v="65817430"/>
    <n v="58530975"/>
    <n v="0"/>
    <n v="348827"/>
    <n v="124348405"/>
  </r>
  <r>
    <n v="22"/>
    <x v="0"/>
    <x v="1"/>
    <x v="4"/>
    <n v="63233369"/>
    <n v="56312415"/>
    <n v="0"/>
    <n v="299893"/>
    <n v="119545784"/>
  </r>
  <r>
    <n v="23"/>
    <x v="0"/>
    <x v="1"/>
    <x v="5"/>
    <n v="60270283"/>
    <n v="54280902"/>
    <n v="0"/>
    <n v="234885"/>
    <n v="114551185"/>
  </r>
  <r>
    <n v="24"/>
    <x v="0"/>
    <x v="1"/>
    <x v="6"/>
    <n v="55969841"/>
    <n v="50881382"/>
    <n v="0"/>
    <n v="108902"/>
    <n v="106851223"/>
  </r>
  <r>
    <n v="25"/>
    <x v="0"/>
    <x v="1"/>
    <x v="7"/>
    <n v="48889458"/>
    <n v="45224268"/>
    <n v="0"/>
    <n v="92909"/>
    <n v="94113726"/>
  </r>
  <r>
    <n v="26"/>
    <x v="0"/>
    <x v="1"/>
    <x v="8"/>
    <n v="42832136"/>
    <n v="40209627"/>
    <n v="0"/>
    <n v="72700"/>
    <n v="83041763"/>
  </r>
  <r>
    <n v="27"/>
    <x v="0"/>
    <x v="1"/>
    <x v="9"/>
    <n v="37425001"/>
    <n v="35407937"/>
    <n v="0"/>
    <n v="55689"/>
    <n v="72832938"/>
  </r>
  <r>
    <n v="28"/>
    <x v="0"/>
    <x v="1"/>
    <x v="10"/>
    <n v="32680196"/>
    <n v="31088691"/>
    <n v="0"/>
    <n v="45789"/>
    <n v="63768887"/>
  </r>
  <r>
    <n v="29"/>
    <x v="0"/>
    <x v="1"/>
    <x v="11"/>
    <n v="27615940"/>
    <n v="26525078"/>
    <n v="0"/>
    <n v="34765"/>
    <n v="54141018"/>
  </r>
  <r>
    <n v="30"/>
    <x v="0"/>
    <x v="1"/>
    <x v="12"/>
    <n v="22609575"/>
    <n v="22004365"/>
    <n v="0"/>
    <n v="24312"/>
    <n v="44613940"/>
  </r>
  <r>
    <n v="31"/>
    <x v="0"/>
    <x v="1"/>
    <x v="13"/>
    <n v="15148652"/>
    <n v="15598198"/>
    <n v="0"/>
    <n v="19882"/>
    <n v="30746850"/>
  </r>
  <r>
    <n v="32"/>
    <x v="0"/>
    <x v="1"/>
    <x v="14"/>
    <n v="9966931"/>
    <n v="10802412"/>
    <n v="0"/>
    <n v="4002"/>
    <n v="20769343"/>
  </r>
  <r>
    <n v="33"/>
    <x v="0"/>
    <x v="1"/>
    <x v="15"/>
    <n v="6339364"/>
    <n v="7313452"/>
    <n v="0"/>
    <n v="2139"/>
    <n v="13652816"/>
  </r>
  <r>
    <n v="34"/>
    <x v="0"/>
    <x v="1"/>
    <x v="16"/>
    <n v="5234548"/>
    <n v="6329580"/>
    <n v="0"/>
    <n v="1760"/>
    <n v="11564128"/>
  </r>
  <r>
    <n v="35"/>
    <x v="0"/>
    <x v="2"/>
    <x v="0"/>
    <n v="60912530"/>
    <n v="55258410"/>
    <n v="24497462"/>
    <n v="4244545"/>
    <n v="116170940"/>
  </r>
  <r>
    <n v="36"/>
    <x v="0"/>
    <x v="2"/>
    <x v="1"/>
    <n v="65242224"/>
    <n v="59122099"/>
    <n v="0"/>
    <n v="2864872"/>
    <n v="124364323"/>
  </r>
  <r>
    <n v="37"/>
    <x v="0"/>
    <x v="2"/>
    <x v="2"/>
    <n v="67171364"/>
    <n v="60139277"/>
    <n v="0"/>
    <n v="1043212"/>
    <n v="127310641"/>
  </r>
  <r>
    <n v="38"/>
    <x v="0"/>
    <x v="2"/>
    <x v="3"/>
    <n v="66110633"/>
    <n v="58772988"/>
    <n v="0"/>
    <n v="448821"/>
    <n v="124883621"/>
  </r>
  <r>
    <n v="39"/>
    <x v="0"/>
    <x v="2"/>
    <x v="4"/>
    <n v="63668733"/>
    <n v="56656333"/>
    <n v="0"/>
    <n v="299843"/>
    <n v="120325066"/>
  </r>
  <r>
    <n v="40"/>
    <x v="0"/>
    <x v="2"/>
    <x v="5"/>
    <n v="60765547"/>
    <n v="54603917"/>
    <n v="0"/>
    <n v="233845"/>
    <n v="115369464"/>
  </r>
  <r>
    <n v="41"/>
    <x v="0"/>
    <x v="2"/>
    <x v="6"/>
    <n v="56842250"/>
    <n v="51638381"/>
    <n v="0"/>
    <n v="198992"/>
    <n v="108480631"/>
  </r>
  <r>
    <n v="42"/>
    <x v="0"/>
    <x v="2"/>
    <x v="7"/>
    <n v="50211341"/>
    <n v="46326639"/>
    <n v="0"/>
    <n v="98999"/>
    <n v="96537980"/>
  </r>
  <r>
    <n v="43"/>
    <x v="0"/>
    <x v="2"/>
    <x v="8"/>
    <n v="43682826"/>
    <n v="41000255"/>
    <n v="0"/>
    <n v="84778"/>
    <n v="84683081"/>
  </r>
  <r>
    <n v="44"/>
    <x v="0"/>
    <x v="2"/>
    <x v="9"/>
    <n v="38207872"/>
    <n v="36190455"/>
    <n v="0"/>
    <n v="47689"/>
    <n v="74398327"/>
  </r>
  <r>
    <n v="45"/>
    <x v="0"/>
    <x v="2"/>
    <x v="10"/>
    <n v="33254336"/>
    <n v="31687040"/>
    <n v="0"/>
    <n v="44789"/>
    <n v="64941376"/>
  </r>
  <r>
    <n v="46"/>
    <x v="0"/>
    <x v="2"/>
    <x v="11"/>
    <n v="28219432"/>
    <n v="27145819"/>
    <n v="0"/>
    <n v="34765"/>
    <n v="55365251"/>
  </r>
  <r>
    <n v="47"/>
    <x v="0"/>
    <x v="2"/>
    <x v="12"/>
    <n v="23174292"/>
    <n v="22560150"/>
    <n v="0"/>
    <n v="24312"/>
    <n v="45734442"/>
  </r>
  <r>
    <n v="48"/>
    <x v="0"/>
    <x v="2"/>
    <x v="13"/>
    <n v="16164962"/>
    <n v="16462911"/>
    <n v="0"/>
    <n v="19882"/>
    <n v="32627873"/>
  </r>
  <r>
    <n v="49"/>
    <x v="0"/>
    <x v="2"/>
    <x v="14"/>
    <n v="10217264"/>
    <n v="11076504"/>
    <n v="0"/>
    <n v="4002"/>
    <n v="21293768"/>
  </r>
  <r>
    <n v="50"/>
    <x v="0"/>
    <x v="2"/>
    <x v="15"/>
    <n v="6510293"/>
    <n v="7460628"/>
    <n v="0"/>
    <n v="2139"/>
    <n v="13970921"/>
  </r>
  <r>
    <n v="51"/>
    <x v="0"/>
    <x v="2"/>
    <x v="16"/>
    <n v="5515294"/>
    <n v="6685835"/>
    <n v="0"/>
    <n v="1760"/>
    <n v="12201129"/>
  </r>
  <r>
    <n v="52"/>
    <x v="0"/>
    <x v="3"/>
    <x v="0"/>
    <n v="60996093"/>
    <n v="55381108"/>
    <n v="24346991"/>
    <n v="4326673"/>
    <n v="116377201"/>
  </r>
  <r>
    <n v="53"/>
    <x v="0"/>
    <x v="3"/>
    <x v="1"/>
    <n v="64116354"/>
    <n v="58132633"/>
    <n v="0"/>
    <n v="2864872"/>
    <n v="122248987"/>
  </r>
  <r>
    <n v="54"/>
    <x v="0"/>
    <x v="3"/>
    <x v="2"/>
    <n v="67071242"/>
    <n v="60230207"/>
    <n v="0"/>
    <n v="1043212"/>
    <n v="127301449"/>
  </r>
  <r>
    <n v="55"/>
    <x v="0"/>
    <x v="3"/>
    <x v="3"/>
    <n v="66337392"/>
    <n v="58967292"/>
    <n v="0"/>
    <n v="448821"/>
    <n v="125304684"/>
  </r>
  <r>
    <n v="56"/>
    <x v="0"/>
    <x v="3"/>
    <x v="4"/>
    <n v="64078213"/>
    <n v="56982700"/>
    <n v="0"/>
    <n v="299843"/>
    <n v="121060913"/>
  </r>
  <r>
    <n v="57"/>
    <x v="0"/>
    <x v="3"/>
    <x v="5"/>
    <n v="61189933"/>
    <n v="54842787"/>
    <n v="0"/>
    <n v="233845"/>
    <n v="116032720"/>
  </r>
  <r>
    <n v="58"/>
    <x v="0"/>
    <x v="3"/>
    <x v="6"/>
    <n v="57576730"/>
    <n v="52269750"/>
    <n v="0"/>
    <n v="198992"/>
    <n v="109846480"/>
  </r>
  <r>
    <n v="59"/>
    <x v="0"/>
    <x v="3"/>
    <x v="7"/>
    <n v="51556939"/>
    <n v="47437459"/>
    <n v="0"/>
    <n v="98999"/>
    <n v="98994398"/>
  </r>
  <r>
    <n v="60"/>
    <x v="0"/>
    <x v="3"/>
    <x v="8"/>
    <n v="44553072"/>
    <n v="41784882"/>
    <n v="0"/>
    <n v="84778"/>
    <n v="86337954"/>
  </r>
  <r>
    <n v="61"/>
    <x v="0"/>
    <x v="3"/>
    <x v="9"/>
    <n v="39028988"/>
    <n v="37004404"/>
    <n v="0"/>
    <n v="47689"/>
    <n v="76033392"/>
  </r>
  <r>
    <n v="62"/>
    <x v="0"/>
    <x v="3"/>
    <x v="10"/>
    <n v="33841414"/>
    <n v="32292454"/>
    <n v="0"/>
    <n v="44789"/>
    <n v="66133868"/>
  </r>
  <r>
    <n v="63"/>
    <x v="0"/>
    <x v="3"/>
    <x v="11"/>
    <n v="28853550"/>
    <n v="27789591"/>
    <n v="0"/>
    <n v="34765"/>
    <n v="56643141"/>
  </r>
  <r>
    <n v="64"/>
    <x v="0"/>
    <x v="3"/>
    <x v="12"/>
    <n v="23643347"/>
    <n v="23060619"/>
    <n v="0"/>
    <n v="24312"/>
    <n v="46703966"/>
  </r>
  <r>
    <n v="65"/>
    <x v="0"/>
    <x v="3"/>
    <x v="13"/>
    <n v="17258733"/>
    <n v="17392827"/>
    <n v="0"/>
    <n v="19882"/>
    <n v="34651560"/>
  </r>
  <r>
    <n v="66"/>
    <x v="0"/>
    <x v="3"/>
    <x v="14"/>
    <n v="10526265"/>
    <n v="11409390"/>
    <n v="0"/>
    <n v="4002"/>
    <n v="21935655"/>
  </r>
  <r>
    <n v="67"/>
    <x v="0"/>
    <x v="3"/>
    <x v="15"/>
    <n v="6681232"/>
    <n v="7612268"/>
    <n v="0"/>
    <n v="2139"/>
    <n v="14293500"/>
  </r>
  <r>
    <n v="68"/>
    <x v="0"/>
    <x v="3"/>
    <x v="16"/>
    <n v="5733115"/>
    <n v="6977349"/>
    <n v="0"/>
    <n v="1760"/>
    <n v="12710464"/>
  </r>
  <r>
    <n v="69"/>
    <x v="0"/>
    <x v="4"/>
    <x v="0"/>
    <n v="61184852"/>
    <n v="55596970"/>
    <n v="24322245"/>
    <n v="4481157"/>
    <n v="116781822"/>
  </r>
  <r>
    <n v="70"/>
    <x v="0"/>
    <x v="4"/>
    <x v="1"/>
    <n v="62910580"/>
    <n v="57039427"/>
    <n v="0"/>
    <n v="2864872"/>
    <n v="119950007"/>
  </r>
  <r>
    <n v="71"/>
    <x v="0"/>
    <x v="4"/>
    <x v="2"/>
    <n v="66812183"/>
    <n v="60172728"/>
    <n v="0"/>
    <n v="1043212"/>
    <n v="126984911"/>
  </r>
  <r>
    <n v="72"/>
    <x v="0"/>
    <x v="4"/>
    <x v="3"/>
    <n v="66525044"/>
    <n v="59164382"/>
    <n v="0"/>
    <n v="448821"/>
    <n v="125689426"/>
  </r>
  <r>
    <n v="73"/>
    <x v="0"/>
    <x v="4"/>
    <x v="4"/>
    <n v="64478247"/>
    <n v="57319089"/>
    <n v="0"/>
    <n v="299843"/>
    <n v="121797336"/>
  </r>
  <r>
    <n v="74"/>
    <x v="0"/>
    <x v="4"/>
    <x v="5"/>
    <n v="61604481"/>
    <n v="55079640"/>
    <n v="0"/>
    <n v="233845"/>
    <n v="116684121"/>
  </r>
  <r>
    <n v="75"/>
    <x v="0"/>
    <x v="4"/>
    <x v="6"/>
    <n v="58243202"/>
    <n v="52817775"/>
    <n v="0"/>
    <n v="198992"/>
    <n v="111060977"/>
  </r>
  <r>
    <n v="76"/>
    <x v="0"/>
    <x v="4"/>
    <x v="7"/>
    <n v="52838830"/>
    <n v="48499876"/>
    <n v="0"/>
    <n v="98999"/>
    <n v="101338706"/>
  </r>
  <r>
    <n v="77"/>
    <x v="0"/>
    <x v="4"/>
    <x v="8"/>
    <n v="45523908"/>
    <n v="42635961"/>
    <n v="0"/>
    <n v="84778"/>
    <n v="88159869"/>
  </r>
  <r>
    <n v="78"/>
    <x v="0"/>
    <x v="4"/>
    <x v="9"/>
    <n v="39881404"/>
    <n v="37840217"/>
    <n v="0"/>
    <n v="47689"/>
    <n v="77721621"/>
  </r>
  <r>
    <n v="79"/>
    <x v="0"/>
    <x v="4"/>
    <x v="10"/>
    <n v="34484803"/>
    <n v="32947978"/>
    <n v="0"/>
    <n v="44789"/>
    <n v="67432781"/>
  </r>
  <r>
    <n v="80"/>
    <x v="0"/>
    <x v="4"/>
    <x v="11"/>
    <n v="29500956"/>
    <n v="28445217"/>
    <n v="0"/>
    <n v="34765"/>
    <n v="57946173"/>
  </r>
  <r>
    <n v="81"/>
    <x v="0"/>
    <x v="4"/>
    <x v="12"/>
    <n v="24129236"/>
    <n v="23591764"/>
    <n v="0"/>
    <n v="24312"/>
    <n v="47721000"/>
  </r>
  <r>
    <n v="82"/>
    <x v="0"/>
    <x v="4"/>
    <x v="13"/>
    <n v="18287177"/>
    <n v="18288098"/>
    <n v="0"/>
    <n v="19882"/>
    <n v="36575275"/>
  </r>
  <r>
    <n v="83"/>
    <x v="0"/>
    <x v="4"/>
    <x v="14"/>
    <n v="10982591"/>
    <n v="11861814"/>
    <n v="0"/>
    <n v="4002"/>
    <n v="22844405"/>
  </r>
  <r>
    <n v="84"/>
    <x v="0"/>
    <x v="4"/>
    <x v="15"/>
    <n v="6861862"/>
    <n v="7794418"/>
    <n v="0"/>
    <n v="2139"/>
    <n v="14656280"/>
  </r>
  <r>
    <n v="85"/>
    <x v="0"/>
    <x v="4"/>
    <x v="16"/>
    <n v="5880216"/>
    <n v="7192830"/>
    <n v="0"/>
    <n v="1760"/>
    <n v="13073046"/>
  </r>
  <r>
    <n v="86"/>
    <x v="1"/>
    <x v="0"/>
    <x v="0"/>
    <n v="10184899"/>
    <n v="9735456"/>
    <n v="3978420"/>
    <n v="1998429"/>
    <n v="19920355"/>
  </r>
  <r>
    <n v="87"/>
    <x v="1"/>
    <x v="0"/>
    <x v="1"/>
    <n v="10728396"/>
    <n v="10257874"/>
    <n v="0"/>
    <n v="99568"/>
    <n v="20986270"/>
  </r>
  <r>
    <n v="88"/>
    <x v="1"/>
    <x v="0"/>
    <x v="2"/>
    <n v="10596734"/>
    <n v="10134668"/>
    <n v="0"/>
    <n v="8599"/>
    <n v="20731402"/>
  </r>
  <r>
    <n v="89"/>
    <x v="1"/>
    <x v="0"/>
    <x v="3"/>
    <n v="10924899"/>
    <n v="10468941"/>
    <n v="0"/>
    <n v="8899"/>
    <n v="21393840"/>
  </r>
  <r>
    <n v="90"/>
    <x v="1"/>
    <x v="0"/>
    <x v="4"/>
    <n v="11799613"/>
    <n v="11270986"/>
    <n v="0"/>
    <n v="5898"/>
    <n v="23070599"/>
  </r>
  <r>
    <n v="91"/>
    <x v="1"/>
    <x v="0"/>
    <x v="5"/>
    <n v="11473149"/>
    <n v="11062072"/>
    <n v="0"/>
    <n v="9865"/>
    <n v="22535221"/>
  </r>
  <r>
    <n v="92"/>
    <x v="1"/>
    <x v="0"/>
    <x v="6"/>
    <n v="10737448"/>
    <n v="10589430"/>
    <n v="0"/>
    <n v="85890"/>
    <n v="21326878"/>
  </r>
  <r>
    <n v="93"/>
    <x v="1"/>
    <x v="0"/>
    <x v="7"/>
    <n v="10083207"/>
    <n v="10098564"/>
    <n v="0"/>
    <n v="78988"/>
    <n v="20181771"/>
  </r>
  <r>
    <n v="94"/>
    <x v="1"/>
    <x v="0"/>
    <x v="8"/>
    <n v="10020106"/>
    <n v="10087492"/>
    <n v="0"/>
    <n v="88657"/>
    <n v="20107598"/>
  </r>
  <r>
    <n v="95"/>
    <x v="1"/>
    <x v="0"/>
    <x v="9"/>
    <n v="10496582"/>
    <n v="10352448"/>
    <n v="0"/>
    <n v="99865"/>
    <n v="20849030"/>
  </r>
  <r>
    <n v="96"/>
    <x v="1"/>
    <x v="0"/>
    <x v="10"/>
    <n v="11061340"/>
    <n v="11053353"/>
    <n v="0"/>
    <n v="98799"/>
    <n v="22114693"/>
  </r>
  <r>
    <n v="97"/>
    <x v="1"/>
    <x v="0"/>
    <x v="11"/>
    <n v="10593507"/>
    <n v="10952974"/>
    <n v="0"/>
    <n v="88002"/>
    <n v="21546481"/>
  </r>
  <r>
    <n v="98"/>
    <x v="1"/>
    <x v="0"/>
    <x v="12"/>
    <n v="9130107"/>
    <n v="9790678"/>
    <n v="0"/>
    <n v="28900"/>
    <n v="18920785"/>
  </r>
  <r>
    <n v="99"/>
    <x v="1"/>
    <x v="0"/>
    <x v="13"/>
    <n v="7411294"/>
    <n v="8279170"/>
    <n v="0"/>
    <n v="8459"/>
    <n v="15690464"/>
  </r>
  <r>
    <n v="100"/>
    <x v="1"/>
    <x v="0"/>
    <x v="14"/>
    <n v="5114884"/>
    <n v="6066532"/>
    <n v="0"/>
    <n v="2065"/>
    <n v="11181416"/>
  </r>
  <r>
    <n v="101"/>
    <x v="1"/>
    <x v="0"/>
    <x v="15"/>
    <n v="3667350"/>
    <n v="4444190"/>
    <n v="0"/>
    <n v="1190"/>
    <n v="8111540"/>
  </r>
  <r>
    <n v="102"/>
    <x v="1"/>
    <x v="0"/>
    <x v="16"/>
    <n v="4568339"/>
    <n v="7398480"/>
    <n v="0"/>
    <n v="557"/>
    <n v="11966819"/>
  </r>
  <r>
    <n v="103"/>
    <x v="1"/>
    <x v="1"/>
    <x v="0"/>
    <n v="10016952"/>
    <n v="9573695"/>
    <n v="3941109"/>
    <n v="2030047"/>
    <n v="19590647"/>
  </r>
  <r>
    <n v="104"/>
    <x v="1"/>
    <x v="1"/>
    <x v="1"/>
    <n v="10724140"/>
    <n v="10253241"/>
    <n v="0"/>
    <n v="99568"/>
    <n v="20977381"/>
  </r>
  <r>
    <n v="105"/>
    <x v="1"/>
    <x v="1"/>
    <x v="2"/>
    <n v="10663777"/>
    <n v="10202485"/>
    <n v="0"/>
    <n v="8599"/>
    <n v="20866262"/>
  </r>
  <r>
    <n v="106"/>
    <x v="1"/>
    <x v="1"/>
    <x v="3"/>
    <n v="10884673"/>
    <n v="10446661"/>
    <n v="0"/>
    <n v="8899"/>
    <n v="21331334"/>
  </r>
  <r>
    <n v="107"/>
    <x v="1"/>
    <x v="1"/>
    <x v="4"/>
    <n v="11783886"/>
    <n v="11272839"/>
    <n v="0"/>
    <n v="5898"/>
    <n v="23056725"/>
  </r>
  <r>
    <n v="108"/>
    <x v="1"/>
    <x v="1"/>
    <x v="5"/>
    <n v="11663748"/>
    <n v="11223441"/>
    <n v="0"/>
    <n v="9865"/>
    <n v="22887189"/>
  </r>
  <r>
    <n v="109"/>
    <x v="1"/>
    <x v="1"/>
    <x v="6"/>
    <n v="10937125"/>
    <n v="10747293"/>
    <n v="0"/>
    <n v="85890"/>
    <n v="21684418"/>
  </r>
  <r>
    <n v="110"/>
    <x v="1"/>
    <x v="1"/>
    <x v="7"/>
    <n v="10200578"/>
    <n v="10197576"/>
    <n v="0"/>
    <n v="78988"/>
    <n v="20398154"/>
  </r>
  <r>
    <n v="111"/>
    <x v="1"/>
    <x v="1"/>
    <x v="8"/>
    <n v="9989633"/>
    <n v="10080276"/>
    <n v="0"/>
    <n v="88657"/>
    <n v="20069909"/>
  </r>
  <r>
    <n v="112"/>
    <x v="1"/>
    <x v="1"/>
    <x v="9"/>
    <n v="10355761"/>
    <n v="10250825"/>
    <n v="0"/>
    <n v="99865"/>
    <n v="20606586"/>
  </r>
  <r>
    <n v="113"/>
    <x v="1"/>
    <x v="1"/>
    <x v="10"/>
    <n v="10960188"/>
    <n v="10924304"/>
    <n v="0"/>
    <n v="98799"/>
    <n v="21884492"/>
  </r>
  <r>
    <n v="114"/>
    <x v="1"/>
    <x v="1"/>
    <x v="11"/>
    <n v="10691633"/>
    <n v="11015609"/>
    <n v="0"/>
    <n v="88002"/>
    <n v="21707242"/>
  </r>
  <r>
    <n v="115"/>
    <x v="1"/>
    <x v="1"/>
    <x v="12"/>
    <n v="9339147"/>
    <n v="9991870"/>
    <n v="0"/>
    <n v="28900"/>
    <n v="19331017"/>
  </r>
  <r>
    <n v="116"/>
    <x v="1"/>
    <x v="1"/>
    <x v="13"/>
    <n v="7672057"/>
    <n v="8547554"/>
    <n v="0"/>
    <n v="8459"/>
    <n v="16219611"/>
  </r>
  <r>
    <n v="117"/>
    <x v="1"/>
    <x v="1"/>
    <x v="14"/>
    <n v="5379510"/>
    <n v="6367360"/>
    <n v="0"/>
    <n v="2065"/>
    <n v="11746870"/>
  </r>
  <r>
    <n v="118"/>
    <x v="1"/>
    <x v="1"/>
    <x v="15"/>
    <n v="3763025"/>
    <n v="4573667"/>
    <n v="0"/>
    <n v="1190"/>
    <n v="8336692"/>
  </r>
  <r>
    <n v="119"/>
    <x v="1"/>
    <x v="1"/>
    <x v="16"/>
    <n v="4735454"/>
    <n v="7511330"/>
    <n v="0"/>
    <n v="557"/>
    <n v="12246784"/>
  </r>
  <r>
    <n v="120"/>
    <x v="1"/>
    <x v="2"/>
    <x v="0"/>
    <n v="9953770"/>
    <n v="9515068"/>
    <n v="3855512"/>
    <n v="2099302"/>
    <n v="19468838"/>
  </r>
  <r>
    <n v="121"/>
    <x v="1"/>
    <x v="2"/>
    <x v="1"/>
    <n v="10649052"/>
    <n v="10181137"/>
    <n v="0"/>
    <n v="99568"/>
    <n v="20830189"/>
  </r>
  <r>
    <n v="122"/>
    <x v="1"/>
    <x v="2"/>
    <x v="2"/>
    <n v="10724856"/>
    <n v="10263671"/>
    <n v="0"/>
    <n v="8599"/>
    <n v="20988527"/>
  </r>
  <r>
    <n v="123"/>
    <x v="1"/>
    <x v="2"/>
    <x v="3"/>
    <n v="10855224"/>
    <n v="10427870"/>
    <n v="0"/>
    <n v="8899"/>
    <n v="21283094"/>
  </r>
  <r>
    <n v="124"/>
    <x v="1"/>
    <x v="2"/>
    <x v="4"/>
    <n v="11687942"/>
    <n v="11207162"/>
    <n v="0"/>
    <n v="5898"/>
    <n v="22895104"/>
  </r>
  <r>
    <n v="125"/>
    <x v="1"/>
    <x v="2"/>
    <x v="5"/>
    <n v="11840909"/>
    <n v="11381649"/>
    <n v="0"/>
    <n v="9865"/>
    <n v="23222558"/>
  </r>
  <r>
    <n v="126"/>
    <x v="1"/>
    <x v="2"/>
    <x v="6"/>
    <n v="11127907"/>
    <n v="10892876"/>
    <n v="0"/>
    <n v="85890"/>
    <n v="22020783"/>
  </r>
  <r>
    <n v="127"/>
    <x v="1"/>
    <x v="2"/>
    <x v="7"/>
    <n v="10336572"/>
    <n v="10314819"/>
    <n v="0"/>
    <n v="78988"/>
    <n v="20651391"/>
  </r>
  <r>
    <n v="128"/>
    <x v="1"/>
    <x v="2"/>
    <x v="8"/>
    <n v="9972655"/>
    <n v="10071874"/>
    <n v="0"/>
    <n v="88657"/>
    <n v="20044529"/>
  </r>
  <r>
    <n v="129"/>
    <x v="1"/>
    <x v="2"/>
    <x v="9"/>
    <n v="10224087"/>
    <n v="10177267"/>
    <n v="0"/>
    <n v="99865"/>
    <n v="20401354"/>
  </r>
  <r>
    <n v="130"/>
    <x v="1"/>
    <x v="2"/>
    <x v="10"/>
    <n v="10810461"/>
    <n v="10751245"/>
    <n v="0"/>
    <n v="98799"/>
    <n v="21561706"/>
  </r>
  <r>
    <n v="131"/>
    <x v="1"/>
    <x v="2"/>
    <x v="11"/>
    <n v="10746921"/>
    <n v="11027131"/>
    <n v="0"/>
    <n v="88002"/>
    <n v="21774052"/>
  </r>
  <r>
    <n v="132"/>
    <x v="1"/>
    <x v="2"/>
    <x v="12"/>
    <n v="9543422"/>
    <n v="10185704"/>
    <n v="0"/>
    <n v="28900"/>
    <n v="19729126"/>
  </r>
  <r>
    <n v="133"/>
    <x v="1"/>
    <x v="2"/>
    <x v="13"/>
    <n v="7884787"/>
    <n v="8767454"/>
    <n v="0"/>
    <n v="8459"/>
    <n v="16652241"/>
  </r>
  <r>
    <n v="134"/>
    <x v="1"/>
    <x v="2"/>
    <x v="14"/>
    <n v="5629444"/>
    <n v="6704090"/>
    <n v="0"/>
    <n v="2065"/>
    <n v="12333534"/>
  </r>
  <r>
    <n v="135"/>
    <x v="1"/>
    <x v="2"/>
    <x v="15"/>
    <n v="3854099"/>
    <n v="4725780"/>
    <n v="0"/>
    <n v="1190"/>
    <n v="8579879"/>
  </r>
  <r>
    <n v="136"/>
    <x v="1"/>
    <x v="2"/>
    <x v="16"/>
    <n v="4883146"/>
    <n v="7598866"/>
    <n v="0"/>
    <n v="557"/>
    <n v="12482012"/>
  </r>
  <r>
    <n v="137"/>
    <x v="1"/>
    <x v="3"/>
    <x v="0"/>
    <n v="9961285"/>
    <n v="9525853"/>
    <n v="3791712"/>
    <n v="2125004"/>
    <n v="19487138"/>
  </r>
  <r>
    <n v="138"/>
    <x v="1"/>
    <x v="3"/>
    <x v="1"/>
    <n v="10509587"/>
    <n v="10048113"/>
    <n v="0"/>
    <n v="99568"/>
    <n v="20557700"/>
  </r>
  <r>
    <n v="139"/>
    <x v="1"/>
    <x v="3"/>
    <x v="2"/>
    <n v="10768548"/>
    <n v="10306750"/>
    <n v="0"/>
    <n v="8599"/>
    <n v="21075298"/>
  </r>
  <r>
    <n v="140"/>
    <x v="1"/>
    <x v="3"/>
    <x v="3"/>
    <n v="10830151"/>
    <n v="10407016"/>
    <n v="0"/>
    <n v="8899"/>
    <n v="21237167"/>
  </r>
  <r>
    <n v="141"/>
    <x v="1"/>
    <x v="3"/>
    <x v="4"/>
    <n v="11540498"/>
    <n v="11096499"/>
    <n v="0"/>
    <n v="5898"/>
    <n v="22636997"/>
  </r>
  <r>
    <n v="142"/>
    <x v="1"/>
    <x v="3"/>
    <x v="5"/>
    <n v="11984144"/>
    <n v="11516976"/>
    <n v="0"/>
    <n v="9865"/>
    <n v="23501120"/>
  </r>
  <r>
    <n v="143"/>
    <x v="1"/>
    <x v="3"/>
    <x v="6"/>
    <n v="11307107"/>
    <n v="11027059"/>
    <n v="0"/>
    <n v="85890"/>
    <n v="22334166"/>
  </r>
  <r>
    <n v="144"/>
    <x v="1"/>
    <x v="3"/>
    <x v="7"/>
    <n v="10484916"/>
    <n v="10442313"/>
    <n v="0"/>
    <n v="78988"/>
    <n v="20927229"/>
  </r>
  <r>
    <n v="145"/>
    <x v="1"/>
    <x v="3"/>
    <x v="8"/>
    <n v="9981141"/>
    <n v="10067886"/>
    <n v="0"/>
    <n v="88657"/>
    <n v="20049027"/>
  </r>
  <r>
    <n v="146"/>
    <x v="1"/>
    <x v="3"/>
    <x v="9"/>
    <n v="10103930"/>
    <n v="10123340"/>
    <n v="0"/>
    <n v="99865"/>
    <n v="20227270"/>
  </r>
  <r>
    <n v="147"/>
    <x v="1"/>
    <x v="3"/>
    <x v="10"/>
    <n v="10628004"/>
    <n v="10553772"/>
    <n v="0"/>
    <n v="98799"/>
    <n v="21181776"/>
  </r>
  <r>
    <n v="148"/>
    <x v="1"/>
    <x v="3"/>
    <x v="11"/>
    <n v="10756911"/>
    <n v="10988002"/>
    <n v="0"/>
    <n v="88002"/>
    <n v="21744913"/>
  </r>
  <r>
    <n v="149"/>
    <x v="1"/>
    <x v="3"/>
    <x v="12"/>
    <n v="9729771"/>
    <n v="10356334"/>
    <n v="0"/>
    <n v="28900"/>
    <n v="20086105"/>
  </r>
  <r>
    <n v="150"/>
    <x v="1"/>
    <x v="3"/>
    <x v="13"/>
    <n v="8064079"/>
    <n v="8951698"/>
    <n v="0"/>
    <n v="8459"/>
    <n v="17015777"/>
  </r>
  <r>
    <n v="151"/>
    <x v="1"/>
    <x v="3"/>
    <x v="14"/>
    <n v="6024703"/>
    <n v="7052325"/>
    <n v="0"/>
    <n v="2065"/>
    <n v="13077028"/>
  </r>
  <r>
    <n v="152"/>
    <x v="1"/>
    <x v="3"/>
    <x v="15"/>
    <n v="3958811"/>
    <n v="4904173"/>
    <n v="0"/>
    <n v="1190"/>
    <n v="8862984"/>
  </r>
  <r>
    <n v="153"/>
    <x v="1"/>
    <x v="3"/>
    <x v="16"/>
    <n v="5011343"/>
    <n v="7674464"/>
    <n v="0"/>
    <n v="557"/>
    <n v="12685807"/>
  </r>
  <r>
    <n v="154"/>
    <x v="1"/>
    <x v="4"/>
    <x v="0"/>
    <n v="9994109"/>
    <n v="9560814"/>
    <n v="3747540"/>
    <n v="2140637"/>
    <n v="19554923"/>
  </r>
  <r>
    <n v="155"/>
    <x v="1"/>
    <x v="4"/>
    <x v="1"/>
    <n v="10345114"/>
    <n v="9891747"/>
    <n v="0"/>
    <n v="99568"/>
    <n v="20236861"/>
  </r>
  <r>
    <n v="156"/>
    <x v="1"/>
    <x v="4"/>
    <x v="2"/>
    <n v="10778713"/>
    <n v="10315712"/>
    <n v="0"/>
    <n v="8599"/>
    <n v="21094425"/>
  </r>
  <r>
    <n v="157"/>
    <x v="1"/>
    <x v="4"/>
    <x v="3"/>
    <n v="10810011"/>
    <n v="10387288"/>
    <n v="0"/>
    <n v="8899"/>
    <n v="21197299"/>
  </r>
  <r>
    <n v="158"/>
    <x v="1"/>
    <x v="4"/>
    <x v="4"/>
    <n v="11394893"/>
    <n v="10984798"/>
    <n v="0"/>
    <n v="5898"/>
    <n v="22379691"/>
  </r>
  <r>
    <n v="159"/>
    <x v="1"/>
    <x v="4"/>
    <x v="5"/>
    <n v="12073940"/>
    <n v="11609603"/>
    <n v="0"/>
    <n v="9865"/>
    <n v="23683543"/>
  </r>
  <r>
    <n v="160"/>
    <x v="1"/>
    <x v="4"/>
    <x v="6"/>
    <n v="11483192"/>
    <n v="11163282"/>
    <n v="0"/>
    <n v="85890"/>
    <n v="22646474"/>
  </r>
  <r>
    <n v="161"/>
    <x v="1"/>
    <x v="4"/>
    <x v="7"/>
    <n v="10646005"/>
    <n v="10577274"/>
    <n v="0"/>
    <n v="78988"/>
    <n v="21223279"/>
  </r>
  <r>
    <n v="162"/>
    <x v="1"/>
    <x v="4"/>
    <x v="8"/>
    <n v="10014379"/>
    <n v="10086648"/>
    <n v="0"/>
    <n v="88657"/>
    <n v="20101027"/>
  </r>
  <r>
    <n v="163"/>
    <x v="1"/>
    <x v="4"/>
    <x v="9"/>
    <n v="10004727"/>
    <n v="10081631"/>
    <n v="0"/>
    <n v="99865"/>
    <n v="20086358"/>
  </r>
  <r>
    <n v="164"/>
    <x v="1"/>
    <x v="4"/>
    <x v="10"/>
    <n v="10444920"/>
    <n v="10369204"/>
    <n v="0"/>
    <n v="98799"/>
    <n v="20814124"/>
  </r>
  <r>
    <n v="165"/>
    <x v="1"/>
    <x v="4"/>
    <x v="11"/>
    <n v="10727327"/>
    <n v="10909487"/>
    <n v="0"/>
    <n v="88002"/>
    <n v="21636814"/>
  </r>
  <r>
    <n v="166"/>
    <x v="1"/>
    <x v="4"/>
    <x v="12"/>
    <n v="9888074"/>
    <n v="10490334"/>
    <n v="0"/>
    <n v="28900"/>
    <n v="20378408"/>
  </r>
  <r>
    <n v="167"/>
    <x v="1"/>
    <x v="4"/>
    <x v="13"/>
    <n v="8241458"/>
    <n v="9130305"/>
    <n v="0"/>
    <n v="8459"/>
    <n v="17371763"/>
  </r>
  <r>
    <n v="168"/>
    <x v="1"/>
    <x v="4"/>
    <x v="14"/>
    <n v="6340767"/>
    <n v="7383579"/>
    <n v="0"/>
    <n v="2065"/>
    <n v="13724346"/>
  </r>
  <r>
    <n v="169"/>
    <x v="1"/>
    <x v="4"/>
    <x v="15"/>
    <n v="4106447"/>
    <n v="5120726"/>
    <n v="0"/>
    <n v="1190"/>
    <n v="9227173"/>
  </r>
  <r>
    <n v="170"/>
    <x v="1"/>
    <x v="4"/>
    <x v="16"/>
    <n v="5123805"/>
    <n v="7759209"/>
    <n v="0"/>
    <n v="557"/>
    <n v="12883014"/>
  </r>
  <r>
    <n v="171"/>
    <x v="2"/>
    <x v="0"/>
    <x v="0"/>
    <n v="2752288"/>
    <n v="2607443"/>
    <n v="1005721"/>
    <n v="788979"/>
    <n v="5359731"/>
  </r>
  <r>
    <n v="172"/>
    <x v="2"/>
    <x v="0"/>
    <x v="1"/>
    <n v="2835756"/>
    <n v="2687101"/>
    <n v="0"/>
    <n v="5897"/>
    <n v="5522857"/>
  </r>
  <r>
    <n v="173"/>
    <x v="2"/>
    <x v="0"/>
    <x v="2"/>
    <n v="2891630"/>
    <n v="2740615"/>
    <n v="0"/>
    <n v="5991"/>
    <n v="5632245"/>
  </r>
  <r>
    <n v="174"/>
    <x v="2"/>
    <x v="0"/>
    <x v="3"/>
    <n v="3048362"/>
    <n v="2891759"/>
    <n v="0"/>
    <n v="4987"/>
    <n v="5940121"/>
  </r>
  <r>
    <n v="175"/>
    <x v="2"/>
    <x v="0"/>
    <x v="4"/>
    <n v="3127455"/>
    <n v="2971136"/>
    <n v="0"/>
    <n v="2013"/>
    <n v="6098591"/>
  </r>
  <r>
    <n v="176"/>
    <x v="2"/>
    <x v="0"/>
    <x v="5"/>
    <n v="3438494"/>
    <n v="3273328"/>
    <n v="0"/>
    <n v="90895"/>
    <n v="6711822"/>
  </r>
  <r>
    <n v="177"/>
    <x v="2"/>
    <x v="0"/>
    <x v="6"/>
    <n v="3867272"/>
    <n v="3691825"/>
    <n v="0"/>
    <n v="98569"/>
    <n v="7559097"/>
  </r>
  <r>
    <n v="178"/>
    <x v="2"/>
    <x v="0"/>
    <x v="7"/>
    <n v="4289456"/>
    <n v="4134891"/>
    <n v="0"/>
    <n v="98786"/>
    <n v="8424347"/>
  </r>
  <r>
    <n v="179"/>
    <x v="2"/>
    <x v="0"/>
    <x v="8"/>
    <n v="5085533"/>
    <n v="4894779"/>
    <n v="0"/>
    <n v="84558"/>
    <n v="9980312"/>
  </r>
  <r>
    <n v="180"/>
    <x v="2"/>
    <x v="0"/>
    <x v="9"/>
    <n v="4380688"/>
    <n v="4284280"/>
    <n v="0"/>
    <n v="20909"/>
    <n v="8664968"/>
  </r>
  <r>
    <n v="181"/>
    <x v="2"/>
    <x v="0"/>
    <x v="10"/>
    <n v="4011746"/>
    <n v="3924606"/>
    <n v="0"/>
    <n v="10093"/>
    <n v="7936352"/>
  </r>
  <r>
    <n v="182"/>
    <x v="2"/>
    <x v="0"/>
    <x v="11"/>
    <n v="3825094"/>
    <n v="3786665"/>
    <n v="0"/>
    <n v="9923"/>
    <n v="7611759"/>
  </r>
  <r>
    <n v="183"/>
    <x v="2"/>
    <x v="0"/>
    <x v="12"/>
    <n v="4276772"/>
    <n v="4341791"/>
    <n v="0"/>
    <n v="3359"/>
    <n v="8618563"/>
  </r>
  <r>
    <n v="184"/>
    <x v="2"/>
    <x v="0"/>
    <x v="13"/>
    <n v="4626314"/>
    <n v="4938452"/>
    <n v="0"/>
    <n v="5238"/>
    <n v="9564766"/>
  </r>
  <r>
    <n v="185"/>
    <x v="2"/>
    <x v="0"/>
    <x v="14"/>
    <n v="3560518"/>
    <n v="4092978"/>
    <n v="0"/>
    <n v="4459"/>
    <n v="7653496"/>
  </r>
  <r>
    <n v="186"/>
    <x v="2"/>
    <x v="0"/>
    <x v="15"/>
    <n v="2754042"/>
    <n v="3463905"/>
    <n v="0"/>
    <n v="18963"/>
    <n v="6217947"/>
  </r>
  <r>
    <n v="187"/>
    <x v="2"/>
    <x v="0"/>
    <x v="16"/>
    <n v="3353859"/>
    <n v="6291168"/>
    <n v="0"/>
    <n v="19406"/>
    <n v="9645027"/>
  </r>
  <r>
    <n v="188"/>
    <x v="2"/>
    <x v="1"/>
    <x v="0"/>
    <n v="2714440"/>
    <n v="2572012"/>
    <n v="977242"/>
    <n v="735113"/>
    <n v="5286452"/>
  </r>
  <r>
    <n v="189"/>
    <x v="2"/>
    <x v="1"/>
    <x v="1"/>
    <n v="2828019"/>
    <n v="2680357"/>
    <n v="0"/>
    <n v="5897"/>
    <n v="5508376"/>
  </r>
  <r>
    <n v="190"/>
    <x v="2"/>
    <x v="1"/>
    <x v="2"/>
    <n v="2877604"/>
    <n v="2727965"/>
    <n v="0"/>
    <n v="5991"/>
    <n v="5605569"/>
  </r>
  <r>
    <n v="191"/>
    <x v="2"/>
    <x v="1"/>
    <x v="3"/>
    <n v="3027351"/>
    <n v="2872467"/>
    <n v="0"/>
    <n v="4987"/>
    <n v="5899818"/>
  </r>
  <r>
    <n v="192"/>
    <x v="2"/>
    <x v="1"/>
    <x v="4"/>
    <n v="3101240"/>
    <n v="2946770"/>
    <n v="0"/>
    <n v="2013"/>
    <n v="6048010"/>
  </r>
  <r>
    <n v="193"/>
    <x v="2"/>
    <x v="1"/>
    <x v="5"/>
    <n v="3367137"/>
    <n v="3205979"/>
    <n v="0"/>
    <n v="90895"/>
    <n v="6573116"/>
  </r>
  <r>
    <n v="194"/>
    <x v="2"/>
    <x v="1"/>
    <x v="6"/>
    <n v="3792619"/>
    <n v="3618053"/>
    <n v="0"/>
    <n v="98569"/>
    <n v="7410672"/>
  </r>
  <r>
    <n v="195"/>
    <x v="2"/>
    <x v="1"/>
    <x v="7"/>
    <n v="4161706"/>
    <n v="4010359"/>
    <n v="0"/>
    <n v="98786"/>
    <n v="8172065"/>
  </r>
  <r>
    <n v="196"/>
    <x v="2"/>
    <x v="1"/>
    <x v="8"/>
    <n v="5027828"/>
    <n v="4840256"/>
    <n v="0"/>
    <n v="84558"/>
    <n v="9868084"/>
  </r>
  <r>
    <n v="197"/>
    <x v="2"/>
    <x v="1"/>
    <x v="9"/>
    <n v="4529066"/>
    <n v="4423219"/>
    <n v="0"/>
    <n v="20909"/>
    <n v="8952285"/>
  </r>
  <r>
    <n v="198"/>
    <x v="2"/>
    <x v="1"/>
    <x v="10"/>
    <n v="4060346"/>
    <n v="3979587"/>
    <n v="0"/>
    <n v="10093"/>
    <n v="8039933"/>
  </r>
  <r>
    <n v="199"/>
    <x v="2"/>
    <x v="1"/>
    <x v="11"/>
    <n v="3793569"/>
    <n v="3755069"/>
    <n v="0"/>
    <n v="9923"/>
    <n v="7548638"/>
  </r>
  <r>
    <n v="200"/>
    <x v="2"/>
    <x v="1"/>
    <x v="12"/>
    <n v="4127834"/>
    <n v="4182843"/>
    <n v="0"/>
    <n v="3359"/>
    <n v="8310677"/>
  </r>
  <r>
    <n v="201"/>
    <x v="2"/>
    <x v="1"/>
    <x v="13"/>
    <n v="4604527"/>
    <n v="4902194"/>
    <n v="0"/>
    <n v="5238"/>
    <n v="9506721"/>
  </r>
  <r>
    <n v="202"/>
    <x v="2"/>
    <x v="1"/>
    <x v="14"/>
    <n v="3708856"/>
    <n v="4243069"/>
    <n v="0"/>
    <n v="4459"/>
    <n v="7951925"/>
  </r>
  <r>
    <n v="203"/>
    <x v="2"/>
    <x v="1"/>
    <x v="15"/>
    <n v="2803349"/>
    <n v="3511715"/>
    <n v="0"/>
    <n v="18963"/>
    <n v="6315064"/>
  </r>
  <r>
    <n v="204"/>
    <x v="2"/>
    <x v="1"/>
    <x v="16"/>
    <n v="3517553"/>
    <n v="6479554"/>
    <n v="0"/>
    <n v="19406"/>
    <n v="9997107"/>
  </r>
  <r>
    <n v="205"/>
    <x v="2"/>
    <x v="2"/>
    <x v="0"/>
    <n v="2653678"/>
    <n v="2514735"/>
    <n v="946146"/>
    <n v="767542"/>
    <n v="5168413"/>
  </r>
  <r>
    <n v="206"/>
    <x v="2"/>
    <x v="2"/>
    <x v="1"/>
    <n v="2819519"/>
    <n v="2671681"/>
    <n v="0"/>
    <n v="5897"/>
    <n v="5491200"/>
  </r>
  <r>
    <n v="207"/>
    <x v="2"/>
    <x v="2"/>
    <x v="2"/>
    <n v="2868387"/>
    <n v="2719622"/>
    <n v="0"/>
    <n v="5991"/>
    <n v="5588009"/>
  </r>
  <r>
    <n v="208"/>
    <x v="2"/>
    <x v="2"/>
    <x v="3"/>
    <n v="2998464"/>
    <n v="2845380"/>
    <n v="0"/>
    <n v="4987"/>
    <n v="5843844"/>
  </r>
  <r>
    <n v="209"/>
    <x v="2"/>
    <x v="2"/>
    <x v="4"/>
    <n v="3088707"/>
    <n v="2935166"/>
    <n v="0"/>
    <n v="2013"/>
    <n v="6023873"/>
  </r>
  <r>
    <n v="210"/>
    <x v="2"/>
    <x v="2"/>
    <x v="5"/>
    <n v="3298005"/>
    <n v="3140301"/>
    <n v="0"/>
    <n v="90895"/>
    <n v="6438306"/>
  </r>
  <r>
    <n v="211"/>
    <x v="2"/>
    <x v="2"/>
    <x v="6"/>
    <n v="3711974"/>
    <n v="3540334"/>
    <n v="0"/>
    <n v="98569"/>
    <n v="7252308"/>
  </r>
  <r>
    <n v="212"/>
    <x v="2"/>
    <x v="2"/>
    <x v="7"/>
    <n v="4076405"/>
    <n v="3922439"/>
    <n v="0"/>
    <n v="98786"/>
    <n v="7998844"/>
  </r>
  <r>
    <n v="213"/>
    <x v="2"/>
    <x v="2"/>
    <x v="8"/>
    <n v="4874289"/>
    <n v="4697174"/>
    <n v="0"/>
    <n v="84558"/>
    <n v="9571463"/>
  </r>
  <r>
    <n v="214"/>
    <x v="2"/>
    <x v="2"/>
    <x v="9"/>
    <n v="4717350"/>
    <n v="4593800"/>
    <n v="0"/>
    <n v="20909"/>
    <n v="9311150"/>
  </r>
  <r>
    <n v="215"/>
    <x v="2"/>
    <x v="2"/>
    <x v="10"/>
    <n v="4103341"/>
    <n v="4030729"/>
    <n v="0"/>
    <n v="10093"/>
    <n v="8134070"/>
  </r>
  <r>
    <n v="216"/>
    <x v="2"/>
    <x v="2"/>
    <x v="11"/>
    <n v="3803755"/>
    <n v="3763254"/>
    <n v="0"/>
    <n v="9923"/>
    <n v="7567009"/>
  </r>
  <r>
    <n v="217"/>
    <x v="2"/>
    <x v="2"/>
    <x v="12"/>
    <n v="3989075"/>
    <n v="4037243"/>
    <n v="0"/>
    <n v="3359"/>
    <n v="8026318"/>
  </r>
  <r>
    <n v="218"/>
    <x v="2"/>
    <x v="2"/>
    <x v="13"/>
    <n v="4510789"/>
    <n v="4785707"/>
    <n v="0"/>
    <n v="5238"/>
    <n v="9296496"/>
  </r>
  <r>
    <n v="219"/>
    <x v="2"/>
    <x v="2"/>
    <x v="14"/>
    <n v="3895960"/>
    <n v="4428775"/>
    <n v="0"/>
    <n v="4459"/>
    <n v="8324735"/>
  </r>
  <r>
    <n v="220"/>
    <x v="2"/>
    <x v="2"/>
    <x v="15"/>
    <n v="2854512"/>
    <n v="3570339"/>
    <n v="0"/>
    <n v="18963"/>
    <n v="6424851"/>
  </r>
  <r>
    <n v="221"/>
    <x v="2"/>
    <x v="2"/>
    <x v="16"/>
    <n v="3668804"/>
    <n v="6657105"/>
    <n v="0"/>
    <n v="19406"/>
    <n v="10325909"/>
  </r>
  <r>
    <n v="222"/>
    <x v="2"/>
    <x v="3"/>
    <x v="0"/>
    <n v="2579643"/>
    <n v="2444699"/>
    <n v="918400"/>
    <n v="789445"/>
    <n v="5024342"/>
  </r>
  <r>
    <n v="223"/>
    <x v="2"/>
    <x v="3"/>
    <x v="1"/>
    <n v="2806179"/>
    <n v="2660047"/>
    <n v="0"/>
    <n v="5897"/>
    <n v="5466226"/>
  </r>
  <r>
    <n v="224"/>
    <x v="2"/>
    <x v="3"/>
    <x v="2"/>
    <n v="2861363"/>
    <n v="2713070"/>
    <n v="0"/>
    <n v="5991"/>
    <n v="5574433"/>
  </r>
  <r>
    <n v="225"/>
    <x v="2"/>
    <x v="3"/>
    <x v="3"/>
    <n v="2965991"/>
    <n v="2814547"/>
    <n v="0"/>
    <n v="4987"/>
    <n v="5780538"/>
  </r>
  <r>
    <n v="226"/>
    <x v="2"/>
    <x v="3"/>
    <x v="4"/>
    <n v="3083944"/>
    <n v="2930666"/>
    <n v="0"/>
    <n v="2013"/>
    <n v="6014610"/>
  </r>
  <r>
    <n v="227"/>
    <x v="2"/>
    <x v="3"/>
    <x v="5"/>
    <n v="3234204"/>
    <n v="3079295"/>
    <n v="0"/>
    <n v="90895"/>
    <n v="6313499"/>
  </r>
  <r>
    <n v="228"/>
    <x v="2"/>
    <x v="3"/>
    <x v="6"/>
    <n v="3626655"/>
    <n v="3459237"/>
    <n v="0"/>
    <n v="98569"/>
    <n v="7085892"/>
  </r>
  <r>
    <n v="229"/>
    <x v="2"/>
    <x v="3"/>
    <x v="7"/>
    <n v="4020975"/>
    <n v="3860824"/>
    <n v="0"/>
    <n v="98786"/>
    <n v="7881799"/>
  </r>
  <r>
    <n v="230"/>
    <x v="2"/>
    <x v="3"/>
    <x v="8"/>
    <n v="4661511"/>
    <n v="4499018"/>
    <n v="0"/>
    <n v="84558"/>
    <n v="9160529"/>
  </r>
  <r>
    <n v="231"/>
    <x v="2"/>
    <x v="3"/>
    <x v="9"/>
    <n v="4906238"/>
    <n v="4741437"/>
    <n v="0"/>
    <n v="20909"/>
    <n v="9647675"/>
  </r>
  <r>
    <n v="232"/>
    <x v="2"/>
    <x v="3"/>
    <x v="10"/>
    <n v="4153091"/>
    <n v="4087552"/>
    <n v="0"/>
    <n v="10093"/>
    <n v="8240643"/>
  </r>
  <r>
    <n v="233"/>
    <x v="2"/>
    <x v="3"/>
    <x v="11"/>
    <n v="3844120"/>
    <n v="3800932"/>
    <n v="0"/>
    <n v="9923"/>
    <n v="7645052"/>
  </r>
  <r>
    <n v="234"/>
    <x v="2"/>
    <x v="3"/>
    <x v="12"/>
    <n v="3868710"/>
    <n v="3912000"/>
    <n v="0"/>
    <n v="3359"/>
    <n v="7780710"/>
  </r>
  <r>
    <n v="235"/>
    <x v="2"/>
    <x v="3"/>
    <x v="13"/>
    <n v="4369097"/>
    <n v="4414837"/>
    <n v="0"/>
    <n v="5238"/>
    <n v="8783934"/>
  </r>
  <r>
    <n v="236"/>
    <x v="2"/>
    <x v="3"/>
    <x v="14"/>
    <n v="4086294"/>
    <n v="4614520"/>
    <n v="0"/>
    <n v="4459"/>
    <n v="8700814"/>
  </r>
  <r>
    <n v="237"/>
    <x v="2"/>
    <x v="3"/>
    <x v="15"/>
    <n v="2919129"/>
    <n v="3645342"/>
    <n v="0"/>
    <n v="18963"/>
    <n v="6564471"/>
  </r>
  <r>
    <n v="238"/>
    <x v="2"/>
    <x v="3"/>
    <x v="16"/>
    <n v="3810606"/>
    <n v="6833327"/>
    <n v="0"/>
    <n v="19406"/>
    <n v="10643933"/>
  </r>
  <r>
    <n v="239"/>
    <x v="2"/>
    <x v="4"/>
    <x v="0"/>
    <n v="2506904"/>
    <n v="2375603"/>
    <n v="865239"/>
    <n v="708068"/>
    <n v="4882507"/>
  </r>
  <r>
    <n v="240"/>
    <x v="2"/>
    <x v="4"/>
    <x v="1"/>
    <n v="2788892"/>
    <n v="2643390"/>
    <n v="0"/>
    <n v="5897"/>
    <n v="5432282"/>
  </r>
  <r>
    <n v="241"/>
    <x v="2"/>
    <x v="4"/>
    <x v="2"/>
    <n v="2854308"/>
    <n v="2706094"/>
    <n v="0"/>
    <n v="5991"/>
    <n v="5560402"/>
  </r>
  <r>
    <n v="242"/>
    <x v="2"/>
    <x v="4"/>
    <x v="3"/>
    <n v="2937277"/>
    <n v="2786858"/>
    <n v="0"/>
    <n v="4987"/>
    <n v="5724135"/>
  </r>
  <r>
    <n v="243"/>
    <x v="2"/>
    <x v="4"/>
    <x v="4"/>
    <n v="3077758"/>
    <n v="2924406"/>
    <n v="0"/>
    <n v="2013"/>
    <n v="6002164"/>
  </r>
  <r>
    <n v="244"/>
    <x v="2"/>
    <x v="4"/>
    <x v="5"/>
    <n v="3180645"/>
    <n v="3027699"/>
    <n v="0"/>
    <n v="90895"/>
    <n v="6208344"/>
  </r>
  <r>
    <n v="245"/>
    <x v="2"/>
    <x v="4"/>
    <x v="6"/>
    <n v="3542174"/>
    <n v="3378771"/>
    <n v="0"/>
    <n v="98569"/>
    <n v="6920945"/>
  </r>
  <r>
    <n v="246"/>
    <x v="2"/>
    <x v="4"/>
    <x v="7"/>
    <n v="3969306"/>
    <n v="3803144"/>
    <n v="0"/>
    <n v="98786"/>
    <n v="7772450"/>
  </r>
  <r>
    <n v="247"/>
    <x v="2"/>
    <x v="4"/>
    <x v="8"/>
    <n v="4453487"/>
    <n v="4302976"/>
    <n v="0"/>
    <n v="84558"/>
    <n v="8756463"/>
  </r>
  <r>
    <n v="248"/>
    <x v="2"/>
    <x v="4"/>
    <x v="9"/>
    <n v="5035800"/>
    <n v="4873470"/>
    <n v="0"/>
    <n v="20909"/>
    <n v="9909270"/>
  </r>
  <r>
    <n v="249"/>
    <x v="2"/>
    <x v="4"/>
    <x v="10"/>
    <n v="4231558"/>
    <n v="4167547"/>
    <n v="0"/>
    <n v="10093"/>
    <n v="8399105"/>
  </r>
  <r>
    <n v="250"/>
    <x v="2"/>
    <x v="4"/>
    <x v="11"/>
    <n v="3896612"/>
    <n v="3851485"/>
    <n v="0"/>
    <n v="9923"/>
    <n v="7748097"/>
  </r>
  <r>
    <n v="251"/>
    <x v="2"/>
    <x v="4"/>
    <x v="12"/>
    <n v="3776899"/>
    <n v="3814446"/>
    <n v="0"/>
    <n v="3359"/>
    <n v="7591345"/>
  </r>
  <r>
    <n v="252"/>
    <x v="2"/>
    <x v="4"/>
    <x v="13"/>
    <n v="4217747"/>
    <n v="4432748"/>
    <n v="0"/>
    <n v="5238"/>
    <n v="8650495"/>
  </r>
  <r>
    <n v="253"/>
    <x v="2"/>
    <x v="4"/>
    <x v="14"/>
    <n v="4229351"/>
    <n v="4747816"/>
    <n v="0"/>
    <n v="4459"/>
    <n v="8977167"/>
  </r>
  <r>
    <n v="254"/>
    <x v="2"/>
    <x v="4"/>
    <x v="15"/>
    <n v="3015033"/>
    <n v="3748199"/>
    <n v="0"/>
    <n v="18963"/>
    <n v="6763232"/>
  </r>
  <r>
    <n v="255"/>
    <x v="2"/>
    <x v="4"/>
    <x v="16"/>
    <n v="3945821"/>
    <n v="7020706"/>
    <n v="0"/>
    <n v="24406"/>
    <n v="10966527"/>
  </r>
  <r>
    <n v="256"/>
    <x v="3"/>
    <x v="0"/>
    <x v="0"/>
    <n v="2699299"/>
    <n v="2550469"/>
    <n v="707019"/>
    <n v="19056"/>
    <n v="5249768"/>
  </r>
  <r>
    <n v="257"/>
    <x v="3"/>
    <x v="0"/>
    <x v="1"/>
    <n v="2347944"/>
    <n v="2222498"/>
    <n v="0"/>
    <n v="9256"/>
    <n v="4570442"/>
  </r>
  <r>
    <n v="258"/>
    <x v="3"/>
    <x v="0"/>
    <x v="2"/>
    <n v="2136578"/>
    <n v="2026892"/>
    <n v="0"/>
    <n v="3900"/>
    <n v="4163470"/>
  </r>
  <r>
    <n v="259"/>
    <x v="3"/>
    <x v="0"/>
    <x v="3"/>
    <n v="1953876"/>
    <n v="1864143"/>
    <n v="0"/>
    <n v="4899"/>
    <n v="3818019"/>
  </r>
  <r>
    <n v="260"/>
    <x v="3"/>
    <x v="0"/>
    <x v="4"/>
    <n v="1731873"/>
    <n v="1653358"/>
    <n v="0"/>
    <n v="7843"/>
    <n v="3385231"/>
  </r>
  <r>
    <n v="261"/>
    <x v="3"/>
    <x v="0"/>
    <x v="5"/>
    <n v="1504340"/>
    <n v="1442354"/>
    <n v="0"/>
    <n v="4567"/>
    <n v="2946694"/>
  </r>
  <r>
    <n v="262"/>
    <x v="3"/>
    <x v="0"/>
    <x v="6"/>
    <n v="1274314"/>
    <n v="1222971"/>
    <n v="0"/>
    <n v="42090"/>
    <n v="2497285"/>
  </r>
  <r>
    <n v="263"/>
    <x v="3"/>
    <x v="0"/>
    <x v="7"/>
    <n v="1103759"/>
    <n v="1072083"/>
    <n v="0"/>
    <n v="1593"/>
    <n v="2175842"/>
  </r>
  <r>
    <n v="264"/>
    <x v="3"/>
    <x v="0"/>
    <x v="8"/>
    <n v="909512"/>
    <n v="910083"/>
    <n v="0"/>
    <n v="4692"/>
    <n v="1819595"/>
  </r>
  <r>
    <n v="265"/>
    <x v="3"/>
    <x v="0"/>
    <x v="9"/>
    <n v="708284"/>
    <n v="747896"/>
    <n v="0"/>
    <n v="3592"/>
    <n v="1456180"/>
  </r>
  <r>
    <n v="266"/>
    <x v="3"/>
    <x v="0"/>
    <x v="10"/>
    <n v="454794"/>
    <n v="513824"/>
    <n v="0"/>
    <n v="4567"/>
    <n v="968618"/>
  </r>
  <r>
    <n v="267"/>
    <x v="3"/>
    <x v="0"/>
    <x v="11"/>
    <n v="334721"/>
    <n v="384249"/>
    <n v="0"/>
    <n v="7654"/>
    <n v="718970"/>
  </r>
  <r>
    <n v="268"/>
    <x v="3"/>
    <x v="0"/>
    <x v="12"/>
    <n v="325233"/>
    <n v="372887"/>
    <n v="0"/>
    <n v="5986"/>
    <n v="698120"/>
  </r>
  <r>
    <n v="269"/>
    <x v="3"/>
    <x v="0"/>
    <x v="13"/>
    <n v="191853"/>
    <n v="208880"/>
    <n v="0"/>
    <n v="26008"/>
    <n v="400733"/>
  </r>
  <r>
    <n v="270"/>
    <x v="3"/>
    <x v="0"/>
    <x v="14"/>
    <n v="152462"/>
    <n v="177091"/>
    <n v="0"/>
    <n v="6980"/>
    <n v="329553"/>
  </r>
  <r>
    <n v="271"/>
    <x v="3"/>
    <x v="0"/>
    <x v="15"/>
    <n v="91373"/>
    <n v="119383"/>
    <n v="0"/>
    <n v="2457"/>
    <n v="210756"/>
  </r>
  <r>
    <n v="272"/>
    <x v="3"/>
    <x v="0"/>
    <x v="16"/>
    <n v="63524"/>
    <n v="99465"/>
    <n v="0"/>
    <n v="631"/>
    <n v="162989"/>
  </r>
  <r>
    <n v="273"/>
    <x v="3"/>
    <x v="1"/>
    <x v="0"/>
    <n v="2770946"/>
    <n v="2617785"/>
    <n v="702804"/>
    <n v="33144"/>
    <n v="5388731"/>
  </r>
  <r>
    <n v="274"/>
    <x v="3"/>
    <x v="1"/>
    <x v="1"/>
    <n v="2408116"/>
    <n v="2279370"/>
    <n v="0"/>
    <n v="9256"/>
    <n v="4687486"/>
  </r>
  <r>
    <n v="275"/>
    <x v="3"/>
    <x v="1"/>
    <x v="2"/>
    <n v="2175733"/>
    <n v="2063256"/>
    <n v="0"/>
    <n v="3900"/>
    <n v="4238989"/>
  </r>
  <r>
    <n v="276"/>
    <x v="3"/>
    <x v="1"/>
    <x v="3"/>
    <n v="1993872"/>
    <n v="1902017"/>
    <n v="0"/>
    <n v="4899"/>
    <n v="3895889"/>
  </r>
  <r>
    <n v="277"/>
    <x v="3"/>
    <x v="1"/>
    <x v="4"/>
    <n v="1778046"/>
    <n v="1698359"/>
    <n v="0"/>
    <n v="7843"/>
    <n v="3476405"/>
  </r>
  <r>
    <n v="278"/>
    <x v="3"/>
    <x v="1"/>
    <x v="5"/>
    <n v="1551154"/>
    <n v="1487201"/>
    <n v="0"/>
    <n v="34567"/>
    <n v="3038355"/>
  </r>
  <r>
    <n v="279"/>
    <x v="3"/>
    <x v="1"/>
    <x v="6"/>
    <n v="1315675"/>
    <n v="1262575"/>
    <n v="0"/>
    <n v="42090"/>
    <n v="2578250"/>
  </r>
  <r>
    <n v="280"/>
    <x v="3"/>
    <x v="1"/>
    <x v="7"/>
    <n v="1137279"/>
    <n v="1101438"/>
    <n v="0"/>
    <n v="1593"/>
    <n v="2238717"/>
  </r>
  <r>
    <n v="281"/>
    <x v="3"/>
    <x v="1"/>
    <x v="8"/>
    <n v="946827"/>
    <n v="941019"/>
    <n v="0"/>
    <n v="4692"/>
    <n v="1887846"/>
  </r>
  <r>
    <n v="282"/>
    <x v="3"/>
    <x v="1"/>
    <x v="9"/>
    <n v="750770"/>
    <n v="784897"/>
    <n v="0"/>
    <n v="3592"/>
    <n v="1535667"/>
  </r>
  <r>
    <n v="283"/>
    <x v="3"/>
    <x v="1"/>
    <x v="10"/>
    <n v="494445"/>
    <n v="553678"/>
    <n v="0"/>
    <n v="4567"/>
    <n v="1048123"/>
  </r>
  <r>
    <n v="284"/>
    <x v="3"/>
    <x v="1"/>
    <x v="11"/>
    <n v="341392"/>
    <n v="394089"/>
    <n v="0"/>
    <n v="7654"/>
    <n v="735481"/>
  </r>
  <r>
    <n v="285"/>
    <x v="3"/>
    <x v="1"/>
    <x v="12"/>
    <n v="327365"/>
    <n v="379753"/>
    <n v="0"/>
    <n v="5986"/>
    <n v="707118"/>
  </r>
  <r>
    <n v="286"/>
    <x v="3"/>
    <x v="1"/>
    <x v="13"/>
    <n v="207086"/>
    <n v="229818"/>
    <n v="0"/>
    <n v="26008"/>
    <n v="436904"/>
  </r>
  <r>
    <n v="287"/>
    <x v="3"/>
    <x v="1"/>
    <x v="14"/>
    <n v="151097"/>
    <n v="174476"/>
    <n v="0"/>
    <n v="6980"/>
    <n v="325573"/>
  </r>
  <r>
    <n v="288"/>
    <x v="3"/>
    <x v="1"/>
    <x v="15"/>
    <n v="95240"/>
    <n v="122853"/>
    <n v="0"/>
    <n v="2457"/>
    <n v="218093"/>
  </r>
  <r>
    <n v="289"/>
    <x v="3"/>
    <x v="1"/>
    <x v="16"/>
    <n v="67922"/>
    <n v="105083"/>
    <n v="0"/>
    <n v="508"/>
    <n v="173005"/>
  </r>
  <r>
    <n v="290"/>
    <x v="3"/>
    <x v="2"/>
    <x v="0"/>
    <n v="2792143"/>
    <n v="2637076"/>
    <n v="704050"/>
    <n v="19100"/>
    <n v="5429219"/>
  </r>
  <r>
    <n v="291"/>
    <x v="3"/>
    <x v="2"/>
    <x v="1"/>
    <n v="2476653"/>
    <n v="2343931"/>
    <n v="0"/>
    <n v="9256"/>
    <n v="4820584"/>
  </r>
  <r>
    <n v="292"/>
    <x v="3"/>
    <x v="2"/>
    <x v="2"/>
    <n v="2213065"/>
    <n v="2098010"/>
    <n v="0"/>
    <n v="3900"/>
    <n v="4311075"/>
  </r>
  <r>
    <n v="293"/>
    <x v="3"/>
    <x v="2"/>
    <x v="3"/>
    <n v="2030266"/>
    <n v="1935277"/>
    <n v="0"/>
    <n v="4899"/>
    <n v="3965543"/>
  </r>
  <r>
    <n v="294"/>
    <x v="3"/>
    <x v="2"/>
    <x v="4"/>
    <n v="1822729"/>
    <n v="1742413"/>
    <n v="0"/>
    <n v="7843"/>
    <n v="3565142"/>
  </r>
  <r>
    <n v="295"/>
    <x v="3"/>
    <x v="2"/>
    <x v="5"/>
    <n v="1595396"/>
    <n v="1529014"/>
    <n v="0"/>
    <n v="34567"/>
    <n v="3124410"/>
  </r>
  <r>
    <n v="296"/>
    <x v="3"/>
    <x v="2"/>
    <x v="6"/>
    <n v="1359605"/>
    <n v="1305210"/>
    <n v="0"/>
    <n v="42090"/>
    <n v="2664815"/>
  </r>
  <r>
    <n v="297"/>
    <x v="3"/>
    <x v="2"/>
    <x v="7"/>
    <n v="1167817"/>
    <n v="1128200"/>
    <n v="0"/>
    <n v="1593"/>
    <n v="2296017"/>
  </r>
  <r>
    <n v="298"/>
    <x v="3"/>
    <x v="2"/>
    <x v="8"/>
    <n v="984345"/>
    <n v="972455"/>
    <n v="0"/>
    <n v="4692"/>
    <n v="1956800"/>
  </r>
  <r>
    <n v="299"/>
    <x v="3"/>
    <x v="2"/>
    <x v="9"/>
    <n v="788292"/>
    <n v="815856"/>
    <n v="0"/>
    <n v="3592"/>
    <n v="1604148"/>
  </r>
  <r>
    <n v="300"/>
    <x v="3"/>
    <x v="2"/>
    <x v="10"/>
    <n v="540980"/>
    <n v="598800"/>
    <n v="0"/>
    <n v="4567"/>
    <n v="1139780"/>
  </r>
  <r>
    <n v="301"/>
    <x v="3"/>
    <x v="2"/>
    <x v="11"/>
    <n v="354142"/>
    <n v="410862"/>
    <n v="0"/>
    <n v="7654"/>
    <n v="765004"/>
  </r>
  <r>
    <n v="302"/>
    <x v="3"/>
    <x v="2"/>
    <x v="12"/>
    <n v="321138"/>
    <n v="375643"/>
    <n v="0"/>
    <n v="5986"/>
    <n v="696781"/>
  </r>
  <r>
    <n v="303"/>
    <x v="3"/>
    <x v="2"/>
    <x v="13"/>
    <n v="229520"/>
    <n v="260862"/>
    <n v="0"/>
    <n v="26008"/>
    <n v="490382"/>
  </r>
  <r>
    <n v="304"/>
    <x v="3"/>
    <x v="2"/>
    <x v="14"/>
    <n v="147053"/>
    <n v="168766"/>
    <n v="0"/>
    <n v="6980"/>
    <n v="315819"/>
  </r>
  <r>
    <n v="305"/>
    <x v="3"/>
    <x v="2"/>
    <x v="15"/>
    <n v="99679"/>
    <n v="127190"/>
    <n v="0"/>
    <n v="2457"/>
    <n v="226869"/>
  </r>
  <r>
    <n v="306"/>
    <x v="3"/>
    <x v="2"/>
    <x v="16"/>
    <n v="71111"/>
    <n v="109286"/>
    <n v="0"/>
    <n v="390"/>
    <n v="180397"/>
  </r>
  <r>
    <n v="307"/>
    <x v="3"/>
    <x v="3"/>
    <x v="0"/>
    <n v="2779840"/>
    <n v="2624557"/>
    <n v="708829"/>
    <n v="21180"/>
    <n v="5404397"/>
  </r>
  <r>
    <n v="308"/>
    <x v="3"/>
    <x v="3"/>
    <x v="1"/>
    <n v="2552064"/>
    <n v="2414881"/>
    <n v="0"/>
    <n v="9256"/>
    <n v="4966945"/>
  </r>
  <r>
    <n v="309"/>
    <x v="3"/>
    <x v="3"/>
    <x v="2"/>
    <n v="2249714"/>
    <n v="2132280"/>
    <n v="0"/>
    <n v="3900"/>
    <n v="4381994"/>
  </r>
  <r>
    <n v="310"/>
    <x v="3"/>
    <x v="3"/>
    <x v="3"/>
    <n v="2064014"/>
    <n v="1965204"/>
    <n v="0"/>
    <n v="4899"/>
    <n v="4029218"/>
  </r>
  <r>
    <n v="311"/>
    <x v="3"/>
    <x v="3"/>
    <x v="4"/>
    <n v="1865296"/>
    <n v="1784571"/>
    <n v="0"/>
    <n v="7843"/>
    <n v="3649867"/>
  </r>
  <r>
    <n v="312"/>
    <x v="3"/>
    <x v="3"/>
    <x v="5"/>
    <n v="1637486"/>
    <n v="1568583"/>
    <n v="0"/>
    <n v="34567"/>
    <n v="3206069"/>
  </r>
  <r>
    <n v="313"/>
    <x v="3"/>
    <x v="3"/>
    <x v="6"/>
    <n v="1404901"/>
    <n v="1349473"/>
    <n v="0"/>
    <n v="42090"/>
    <n v="2754374"/>
  </r>
  <r>
    <n v="314"/>
    <x v="3"/>
    <x v="3"/>
    <x v="7"/>
    <n v="1197104"/>
    <n v="1154177"/>
    <n v="0"/>
    <n v="1593"/>
    <n v="2351281"/>
  </r>
  <r>
    <n v="315"/>
    <x v="3"/>
    <x v="3"/>
    <x v="8"/>
    <n v="1021262"/>
    <n v="1003676"/>
    <n v="0"/>
    <n v="4692"/>
    <n v="2024938"/>
  </r>
  <r>
    <n v="316"/>
    <x v="3"/>
    <x v="3"/>
    <x v="9"/>
    <n v="822367"/>
    <n v="842677"/>
    <n v="0"/>
    <n v="3592"/>
    <n v="1665044"/>
  </r>
  <r>
    <n v="317"/>
    <x v="3"/>
    <x v="3"/>
    <x v="10"/>
    <n v="591081"/>
    <n v="646056"/>
    <n v="0"/>
    <n v="4567"/>
    <n v="1237137"/>
  </r>
  <r>
    <n v="318"/>
    <x v="3"/>
    <x v="3"/>
    <x v="11"/>
    <n v="373156"/>
    <n v="434080"/>
    <n v="0"/>
    <n v="7654"/>
    <n v="807236"/>
  </r>
  <r>
    <n v="319"/>
    <x v="3"/>
    <x v="3"/>
    <x v="12"/>
    <n v="311402"/>
    <n v="366321"/>
    <n v="0"/>
    <n v="5986"/>
    <n v="677723"/>
  </r>
  <r>
    <n v="320"/>
    <x v="3"/>
    <x v="3"/>
    <x v="13"/>
    <n v="253887"/>
    <n v="295306"/>
    <n v="0"/>
    <n v="26008"/>
    <n v="549193"/>
  </r>
  <r>
    <n v="321"/>
    <x v="3"/>
    <x v="3"/>
    <x v="14"/>
    <n v="143612"/>
    <n v="164111"/>
    <n v="0"/>
    <n v="6980"/>
    <n v="307723"/>
  </r>
  <r>
    <n v="322"/>
    <x v="3"/>
    <x v="3"/>
    <x v="15"/>
    <n v="103787"/>
    <n v="131491"/>
    <n v="0"/>
    <n v="2457"/>
    <n v="235278"/>
  </r>
  <r>
    <n v="323"/>
    <x v="3"/>
    <x v="3"/>
    <x v="16"/>
    <n v="73094"/>
    <n v="112093"/>
    <n v="0"/>
    <n v="490"/>
    <n v="185187"/>
  </r>
  <r>
    <n v="324"/>
    <x v="3"/>
    <x v="4"/>
    <x v="0"/>
    <n v="2764553"/>
    <n v="2609385"/>
    <n v="719132"/>
    <n v="39762"/>
    <n v="5373938"/>
  </r>
  <r>
    <n v="325"/>
    <x v="3"/>
    <x v="4"/>
    <x v="1"/>
    <n v="2626356"/>
    <n v="2484818"/>
    <n v="0"/>
    <n v="9256"/>
    <n v="5111174"/>
  </r>
  <r>
    <n v="326"/>
    <x v="3"/>
    <x v="4"/>
    <x v="2"/>
    <n v="2290378"/>
    <n v="2170453"/>
    <n v="0"/>
    <n v="3900"/>
    <n v="4460831"/>
  </r>
  <r>
    <n v="327"/>
    <x v="3"/>
    <x v="4"/>
    <x v="3"/>
    <n v="2096334"/>
    <n v="1993686"/>
    <n v="0"/>
    <n v="4899"/>
    <n v="4090020"/>
  </r>
  <r>
    <n v="328"/>
    <x v="3"/>
    <x v="4"/>
    <x v="4"/>
    <n v="1904789"/>
    <n v="1823322"/>
    <n v="0"/>
    <n v="7843"/>
    <n v="3728111"/>
  </r>
  <r>
    <n v="329"/>
    <x v="3"/>
    <x v="4"/>
    <x v="5"/>
    <n v="1678326"/>
    <n v="1607374"/>
    <n v="0"/>
    <n v="34567"/>
    <n v="3285700"/>
  </r>
  <r>
    <n v="330"/>
    <x v="3"/>
    <x v="4"/>
    <x v="6"/>
    <n v="1449516"/>
    <n v="1393015"/>
    <n v="0"/>
    <n v="42090"/>
    <n v="2842531"/>
  </r>
  <r>
    <n v="331"/>
    <x v="3"/>
    <x v="4"/>
    <x v="7"/>
    <n v="1227856"/>
    <n v="1182170"/>
    <n v="0"/>
    <n v="1593"/>
    <n v="2410026"/>
  </r>
  <r>
    <n v="332"/>
    <x v="3"/>
    <x v="4"/>
    <x v="8"/>
    <n v="1056219"/>
    <n v="1033361"/>
    <n v="0"/>
    <n v="4692"/>
    <n v="2089580"/>
  </r>
  <r>
    <n v="333"/>
    <x v="3"/>
    <x v="4"/>
    <x v="9"/>
    <n v="855755"/>
    <n v="868698"/>
    <n v="0"/>
    <n v="3592"/>
    <n v="1724453"/>
  </r>
  <r>
    <n v="334"/>
    <x v="3"/>
    <x v="4"/>
    <x v="10"/>
    <n v="639839"/>
    <n v="690856"/>
    <n v="0"/>
    <n v="4567"/>
    <n v="1330695"/>
  </r>
  <r>
    <n v="335"/>
    <x v="3"/>
    <x v="4"/>
    <x v="11"/>
    <n v="398531"/>
    <n v="462648"/>
    <n v="0"/>
    <n v="7654"/>
    <n v="861179"/>
  </r>
  <r>
    <n v="336"/>
    <x v="3"/>
    <x v="4"/>
    <x v="12"/>
    <n v="305098"/>
    <n v="360493"/>
    <n v="0"/>
    <n v="5986"/>
    <n v="665591"/>
  </r>
  <r>
    <n v="337"/>
    <x v="3"/>
    <x v="4"/>
    <x v="13"/>
    <n v="272799"/>
    <n v="323378"/>
    <n v="0"/>
    <n v="26008"/>
    <n v="596177"/>
  </r>
  <r>
    <n v="338"/>
    <x v="3"/>
    <x v="4"/>
    <x v="14"/>
    <n v="145143"/>
    <n v="166369"/>
    <n v="0"/>
    <n v="6980"/>
    <n v="311512"/>
  </r>
  <r>
    <n v="339"/>
    <x v="3"/>
    <x v="4"/>
    <x v="15"/>
    <n v="106278"/>
    <n v="134244"/>
    <n v="0"/>
    <n v="2457"/>
    <n v="240522"/>
  </r>
  <r>
    <n v="340"/>
    <x v="3"/>
    <x v="4"/>
    <x v="16"/>
    <n v="74044"/>
    <n v="113705"/>
    <n v="0"/>
    <n v="519"/>
    <n v="187749"/>
  </r>
  <r>
    <n v="341"/>
    <x v="4"/>
    <x v="0"/>
    <x v="0"/>
    <n v="1856293"/>
    <n v="1757253"/>
    <n v="737575"/>
    <n v="703560"/>
    <n v="3613546"/>
  </r>
  <r>
    <n v="342"/>
    <x v="4"/>
    <x v="0"/>
    <x v="1"/>
    <n v="1835790"/>
    <n v="1736124"/>
    <n v="0"/>
    <n v="1580"/>
    <n v="3571914"/>
  </r>
  <r>
    <n v="343"/>
    <x v="4"/>
    <x v="0"/>
    <x v="2"/>
    <n v="1901968"/>
    <n v="1793698"/>
    <n v="0"/>
    <n v="1290"/>
    <n v="3695666"/>
  </r>
  <r>
    <n v="344"/>
    <x v="4"/>
    <x v="0"/>
    <x v="3"/>
    <n v="2189470"/>
    <n v="2000494"/>
    <n v="0"/>
    <n v="3598"/>
    <n v="4189964"/>
  </r>
  <r>
    <n v="345"/>
    <x v="4"/>
    <x v="0"/>
    <x v="4"/>
    <n v="2398568"/>
    <n v="2189310"/>
    <n v="0"/>
    <n v="2987"/>
    <n v="4587878"/>
  </r>
  <r>
    <n v="346"/>
    <x v="4"/>
    <x v="0"/>
    <x v="5"/>
    <n v="2798715"/>
    <n v="2588966"/>
    <n v="0"/>
    <n v="56099"/>
    <n v="5387681"/>
  </r>
  <r>
    <n v="347"/>
    <x v="4"/>
    <x v="0"/>
    <x v="6"/>
    <n v="2647069"/>
    <n v="2520791"/>
    <n v="0"/>
    <n v="57841"/>
    <n v="5167860"/>
  </r>
  <r>
    <n v="348"/>
    <x v="4"/>
    <x v="0"/>
    <x v="7"/>
    <n v="2507280"/>
    <n v="2444464"/>
    <n v="0"/>
    <n v="23844"/>
    <n v="4951744"/>
  </r>
  <r>
    <n v="349"/>
    <x v="4"/>
    <x v="0"/>
    <x v="8"/>
    <n v="2518808"/>
    <n v="2471280"/>
    <n v="0"/>
    <n v="19987"/>
    <n v="4990088"/>
  </r>
  <r>
    <n v="350"/>
    <x v="4"/>
    <x v="0"/>
    <x v="9"/>
    <n v="3302545"/>
    <n v="3221159"/>
    <n v="0"/>
    <n v="10965"/>
    <n v="6523704"/>
  </r>
  <r>
    <n v="351"/>
    <x v="4"/>
    <x v="0"/>
    <x v="10"/>
    <n v="3510827"/>
    <n v="3443938"/>
    <n v="0"/>
    <n v="8032"/>
    <n v="6954765"/>
  </r>
  <r>
    <n v="352"/>
    <x v="4"/>
    <x v="0"/>
    <x v="11"/>
    <n v="3012491"/>
    <n v="3026149"/>
    <n v="0"/>
    <n v="8000"/>
    <n v="6038640"/>
  </r>
  <r>
    <n v="353"/>
    <x v="4"/>
    <x v="0"/>
    <x v="12"/>
    <n v="2529258"/>
    <n v="2672798"/>
    <n v="0"/>
    <n v="6956"/>
    <n v="5202056"/>
  </r>
  <r>
    <n v="354"/>
    <x v="4"/>
    <x v="0"/>
    <x v="13"/>
    <n v="2080322"/>
    <n v="2251562"/>
    <n v="0"/>
    <n v="5983"/>
    <n v="4331884"/>
  </r>
  <r>
    <n v="355"/>
    <x v="4"/>
    <x v="0"/>
    <x v="14"/>
    <n v="1847371"/>
    <n v="2121822"/>
    <n v="0"/>
    <n v="5043"/>
    <n v="3969193"/>
  </r>
  <r>
    <n v="356"/>
    <x v="4"/>
    <x v="0"/>
    <x v="15"/>
    <n v="1889669"/>
    <n v="2380229"/>
    <n v="0"/>
    <n v="2081"/>
    <n v="4269898"/>
  </r>
  <r>
    <n v="357"/>
    <x v="4"/>
    <x v="0"/>
    <x v="16"/>
    <n v="1687679"/>
    <n v="3041524"/>
    <n v="0"/>
    <n v="8054"/>
    <n v="4729203"/>
  </r>
  <r>
    <n v="358"/>
    <x v="4"/>
    <x v="1"/>
    <x v="0"/>
    <n v="1928588"/>
    <n v="1827858"/>
    <n v="792141"/>
    <n v="689262"/>
    <n v="3756446"/>
  </r>
  <r>
    <n v="359"/>
    <x v="4"/>
    <x v="1"/>
    <x v="1"/>
    <n v="1857190"/>
    <n v="1756737"/>
    <n v="0"/>
    <n v="1580"/>
    <n v="3613927"/>
  </r>
  <r>
    <n v="360"/>
    <x v="4"/>
    <x v="1"/>
    <x v="2"/>
    <n v="1893522"/>
    <n v="1784673"/>
    <n v="0"/>
    <n v="1290"/>
    <n v="3678195"/>
  </r>
  <r>
    <n v="361"/>
    <x v="4"/>
    <x v="1"/>
    <x v="3"/>
    <n v="2187398"/>
    <n v="1985471"/>
    <n v="0"/>
    <n v="3598"/>
    <n v="4172869"/>
  </r>
  <r>
    <n v="362"/>
    <x v="4"/>
    <x v="1"/>
    <x v="4"/>
    <n v="2395930"/>
    <n v="2178101"/>
    <n v="0"/>
    <n v="2987"/>
    <n v="4574031"/>
  </r>
  <r>
    <n v="363"/>
    <x v="4"/>
    <x v="1"/>
    <x v="5"/>
    <n v="2787105"/>
    <n v="2579651"/>
    <n v="0"/>
    <n v="56099"/>
    <n v="5366756"/>
  </r>
  <r>
    <n v="364"/>
    <x v="4"/>
    <x v="1"/>
    <x v="6"/>
    <n v="2676180"/>
    <n v="2544895"/>
    <n v="0"/>
    <n v="57841"/>
    <n v="5221075"/>
  </r>
  <r>
    <n v="365"/>
    <x v="4"/>
    <x v="1"/>
    <x v="7"/>
    <n v="2557606"/>
    <n v="2500432"/>
    <n v="0"/>
    <n v="23844"/>
    <n v="5058038"/>
  </r>
  <r>
    <n v="366"/>
    <x v="4"/>
    <x v="1"/>
    <x v="8"/>
    <n v="2428357"/>
    <n v="2393629"/>
    <n v="0"/>
    <n v="19987"/>
    <n v="4821986"/>
  </r>
  <r>
    <n v="367"/>
    <x v="4"/>
    <x v="1"/>
    <x v="9"/>
    <n v="3162743"/>
    <n v="3097169"/>
    <n v="0"/>
    <n v="10965"/>
    <n v="6259912"/>
  </r>
  <r>
    <n v="368"/>
    <x v="4"/>
    <x v="1"/>
    <x v="10"/>
    <n v="3526252"/>
    <n v="3458055"/>
    <n v="0"/>
    <n v="8032"/>
    <n v="6984307"/>
  </r>
  <r>
    <n v="369"/>
    <x v="4"/>
    <x v="1"/>
    <x v="11"/>
    <n v="3104747"/>
    <n v="3118379"/>
    <n v="0"/>
    <n v="8000"/>
    <n v="6223126"/>
  </r>
  <r>
    <n v="370"/>
    <x v="4"/>
    <x v="1"/>
    <x v="12"/>
    <n v="2573457"/>
    <n v="2707823"/>
    <n v="0"/>
    <n v="6956"/>
    <n v="5281280"/>
  </r>
  <r>
    <n v="371"/>
    <x v="4"/>
    <x v="1"/>
    <x v="13"/>
    <n v="2186608"/>
    <n v="2376693"/>
    <n v="0"/>
    <n v="5983"/>
    <n v="4563301"/>
  </r>
  <r>
    <n v="372"/>
    <x v="4"/>
    <x v="1"/>
    <x v="14"/>
    <n v="1703714"/>
    <n v="1951223"/>
    <n v="0"/>
    <n v="5043"/>
    <n v="3654937"/>
  </r>
  <r>
    <n v="373"/>
    <x v="4"/>
    <x v="1"/>
    <x v="15"/>
    <n v="1930680"/>
    <n v="2418877"/>
    <n v="0"/>
    <n v="2081"/>
    <n v="4349557"/>
  </r>
  <r>
    <n v="374"/>
    <x v="4"/>
    <x v="1"/>
    <x v="16"/>
    <n v="1797041"/>
    <n v="3144869"/>
    <n v="0"/>
    <n v="8054"/>
    <n v="4941910"/>
  </r>
  <r>
    <n v="375"/>
    <x v="4"/>
    <x v="2"/>
    <x v="0"/>
    <n v="1974218"/>
    <n v="1872560"/>
    <n v="784901"/>
    <n v="710632"/>
    <n v="3846778"/>
  </r>
  <r>
    <n v="376"/>
    <x v="4"/>
    <x v="2"/>
    <x v="1"/>
    <n v="1871418"/>
    <n v="1770798"/>
    <n v="0"/>
    <n v="1580"/>
    <n v="3642216"/>
  </r>
  <r>
    <n v="377"/>
    <x v="4"/>
    <x v="2"/>
    <x v="2"/>
    <n v="1895259"/>
    <n v="1787506"/>
    <n v="0"/>
    <n v="1290"/>
    <n v="3682765"/>
  </r>
  <r>
    <n v="378"/>
    <x v="4"/>
    <x v="2"/>
    <x v="3"/>
    <n v="2131321"/>
    <n v="1949255"/>
    <n v="0"/>
    <n v="3598"/>
    <n v="4080576"/>
  </r>
  <r>
    <n v="379"/>
    <x v="4"/>
    <x v="2"/>
    <x v="4"/>
    <n v="2413076"/>
    <n v="2189438"/>
    <n v="0"/>
    <n v="2987"/>
    <n v="4602514"/>
  </r>
  <r>
    <n v="380"/>
    <x v="4"/>
    <x v="2"/>
    <x v="5"/>
    <n v="2749822"/>
    <n v="2548258"/>
    <n v="0"/>
    <n v="56099"/>
    <n v="5298080"/>
  </r>
  <r>
    <n v="381"/>
    <x v="4"/>
    <x v="2"/>
    <x v="6"/>
    <n v="2716697"/>
    <n v="2573555"/>
    <n v="0"/>
    <n v="57841"/>
    <n v="5290252"/>
  </r>
  <r>
    <n v="382"/>
    <x v="4"/>
    <x v="2"/>
    <x v="7"/>
    <n v="2612793"/>
    <n v="2550417"/>
    <n v="0"/>
    <n v="23844"/>
    <n v="5163210"/>
  </r>
  <r>
    <n v="383"/>
    <x v="4"/>
    <x v="2"/>
    <x v="8"/>
    <n v="2411226"/>
    <n v="2377131"/>
    <n v="0"/>
    <n v="19987"/>
    <n v="4788357"/>
  </r>
  <r>
    <n v="384"/>
    <x v="4"/>
    <x v="2"/>
    <x v="9"/>
    <n v="2999227"/>
    <n v="2944060"/>
    <n v="0"/>
    <n v="10965"/>
    <n v="5943287"/>
  </r>
  <r>
    <n v="385"/>
    <x v="4"/>
    <x v="2"/>
    <x v="10"/>
    <n v="3517989"/>
    <n v="3450056"/>
    <n v="0"/>
    <n v="8032"/>
    <n v="6968045"/>
  </r>
  <r>
    <n v="386"/>
    <x v="4"/>
    <x v="2"/>
    <x v="11"/>
    <n v="3196294"/>
    <n v="3205222"/>
    <n v="0"/>
    <n v="8000"/>
    <n v="6401516"/>
  </r>
  <r>
    <n v="387"/>
    <x v="4"/>
    <x v="2"/>
    <x v="12"/>
    <n v="2627990"/>
    <n v="2747063"/>
    <n v="0"/>
    <n v="6956"/>
    <n v="5375053"/>
  </r>
  <r>
    <n v="388"/>
    <x v="4"/>
    <x v="2"/>
    <x v="13"/>
    <n v="2252151"/>
    <n v="2459543"/>
    <n v="0"/>
    <n v="5983"/>
    <n v="4711694"/>
  </r>
  <r>
    <n v="389"/>
    <x v="4"/>
    <x v="2"/>
    <x v="14"/>
    <n v="1684492"/>
    <n v="1927417"/>
    <n v="0"/>
    <n v="5043"/>
    <n v="3611909"/>
  </r>
  <r>
    <n v="390"/>
    <x v="4"/>
    <x v="2"/>
    <x v="15"/>
    <n v="1884435"/>
    <n v="2350988"/>
    <n v="0"/>
    <n v="2081"/>
    <n v="4235423"/>
  </r>
  <r>
    <n v="391"/>
    <x v="4"/>
    <x v="2"/>
    <x v="16"/>
    <n v="1905166"/>
    <n v="3245519"/>
    <n v="0"/>
    <n v="8054"/>
    <n v="5150685"/>
  </r>
  <r>
    <n v="392"/>
    <x v="4"/>
    <x v="3"/>
    <x v="0"/>
    <n v="2014097"/>
    <n v="1912300"/>
    <n v="787523"/>
    <n v="733335"/>
    <n v="3926397"/>
  </r>
  <r>
    <n v="393"/>
    <x v="4"/>
    <x v="3"/>
    <x v="1"/>
    <n v="1882175"/>
    <n v="1780063"/>
    <n v="0"/>
    <n v="1580"/>
    <n v="3662238"/>
  </r>
  <r>
    <n v="394"/>
    <x v="4"/>
    <x v="3"/>
    <x v="2"/>
    <n v="1904430"/>
    <n v="1797750"/>
    <n v="0"/>
    <n v="1290"/>
    <n v="3702180"/>
  </r>
  <r>
    <n v="395"/>
    <x v="4"/>
    <x v="3"/>
    <x v="3"/>
    <n v="2082699"/>
    <n v="1920778"/>
    <n v="0"/>
    <n v="3598"/>
    <n v="4003477"/>
  </r>
  <r>
    <n v="396"/>
    <x v="4"/>
    <x v="3"/>
    <x v="4"/>
    <n v="2415012"/>
    <n v="2192260"/>
    <n v="0"/>
    <n v="2987"/>
    <n v="4607272"/>
  </r>
  <r>
    <n v="397"/>
    <x v="4"/>
    <x v="3"/>
    <x v="5"/>
    <n v="2695936"/>
    <n v="2497399"/>
    <n v="0"/>
    <n v="56099"/>
    <n v="5193335"/>
  </r>
  <r>
    <n v="398"/>
    <x v="4"/>
    <x v="3"/>
    <x v="6"/>
    <n v="2784081"/>
    <n v="2624948"/>
    <n v="0"/>
    <n v="57841"/>
    <n v="5409029"/>
  </r>
  <r>
    <n v="399"/>
    <x v="4"/>
    <x v="3"/>
    <x v="7"/>
    <n v="2653317"/>
    <n v="2584099"/>
    <n v="0"/>
    <n v="23844"/>
    <n v="5237416"/>
  </r>
  <r>
    <n v="400"/>
    <x v="4"/>
    <x v="3"/>
    <x v="8"/>
    <n v="2438958"/>
    <n v="2402780"/>
    <n v="0"/>
    <n v="19987"/>
    <n v="4841738"/>
  </r>
  <r>
    <n v="401"/>
    <x v="4"/>
    <x v="3"/>
    <x v="9"/>
    <n v="2812217"/>
    <n v="2772302"/>
    <n v="0"/>
    <n v="10965"/>
    <n v="5584519"/>
  </r>
  <r>
    <n v="402"/>
    <x v="4"/>
    <x v="3"/>
    <x v="10"/>
    <n v="3470222"/>
    <n v="3405726"/>
    <n v="0"/>
    <n v="8032"/>
    <n v="6875948"/>
  </r>
  <r>
    <n v="403"/>
    <x v="4"/>
    <x v="3"/>
    <x v="11"/>
    <n v="3297674"/>
    <n v="3300544"/>
    <n v="0"/>
    <n v="8000"/>
    <n v="6598218"/>
  </r>
  <r>
    <n v="404"/>
    <x v="4"/>
    <x v="3"/>
    <x v="12"/>
    <n v="2695725"/>
    <n v="2798189"/>
    <n v="0"/>
    <n v="6956"/>
    <n v="5493914"/>
  </r>
  <r>
    <n v="405"/>
    <x v="4"/>
    <x v="3"/>
    <x v="13"/>
    <n v="2291634"/>
    <n v="2516863"/>
    <n v="0"/>
    <n v="5983"/>
    <n v="4808497"/>
  </r>
  <r>
    <n v="406"/>
    <x v="4"/>
    <x v="3"/>
    <x v="14"/>
    <n v="1679886"/>
    <n v="1916659"/>
    <n v="0"/>
    <n v="5043"/>
    <n v="3596545"/>
  </r>
  <r>
    <n v="407"/>
    <x v="4"/>
    <x v="3"/>
    <x v="15"/>
    <n v="1823611"/>
    <n v="2265773"/>
    <n v="0"/>
    <n v="2081"/>
    <n v="4089384"/>
  </r>
  <r>
    <n v="408"/>
    <x v="4"/>
    <x v="3"/>
    <x v="16"/>
    <n v="2025017"/>
    <n v="3364089"/>
    <n v="0"/>
    <n v="8054"/>
    <n v="5389106"/>
  </r>
  <r>
    <n v="409"/>
    <x v="4"/>
    <x v="4"/>
    <x v="0"/>
    <n v="2031709"/>
    <n v="1929667"/>
    <n v="778090"/>
    <n v="717880"/>
    <n v="3961376"/>
  </r>
  <r>
    <n v="410"/>
    <x v="4"/>
    <x v="4"/>
    <x v="1"/>
    <n v="1914843"/>
    <n v="1812127"/>
    <n v="0"/>
    <n v="1580"/>
    <n v="3726970"/>
  </r>
  <r>
    <n v="411"/>
    <x v="4"/>
    <x v="4"/>
    <x v="2"/>
    <n v="1905151"/>
    <n v="1797762"/>
    <n v="0"/>
    <n v="1290"/>
    <n v="3702913"/>
  </r>
  <r>
    <n v="412"/>
    <x v="4"/>
    <x v="4"/>
    <x v="3"/>
    <n v="2038846"/>
    <n v="1900397"/>
    <n v="0"/>
    <n v="3598"/>
    <n v="3939243"/>
  </r>
  <r>
    <n v="413"/>
    <x v="4"/>
    <x v="4"/>
    <x v="4"/>
    <n v="2416497"/>
    <n v="2191934"/>
    <n v="0"/>
    <n v="2987"/>
    <n v="4608431"/>
  </r>
  <r>
    <n v="414"/>
    <x v="4"/>
    <x v="4"/>
    <x v="5"/>
    <n v="2635982"/>
    <n v="2438489"/>
    <n v="0"/>
    <n v="56099"/>
    <n v="5074471"/>
  </r>
  <r>
    <n v="415"/>
    <x v="4"/>
    <x v="4"/>
    <x v="6"/>
    <n v="2830265"/>
    <n v="2665445"/>
    <n v="0"/>
    <n v="57841"/>
    <n v="5495710"/>
  </r>
  <r>
    <n v="416"/>
    <x v="4"/>
    <x v="4"/>
    <x v="7"/>
    <n v="2683121"/>
    <n v="2606089"/>
    <n v="0"/>
    <n v="23844"/>
    <n v="5289210"/>
  </r>
  <r>
    <n v="417"/>
    <x v="4"/>
    <x v="4"/>
    <x v="8"/>
    <n v="2470934"/>
    <n v="2438092"/>
    <n v="0"/>
    <n v="19987"/>
    <n v="4909026"/>
  </r>
  <r>
    <n v="418"/>
    <x v="4"/>
    <x v="4"/>
    <x v="9"/>
    <n v="2648940"/>
    <n v="2624418"/>
    <n v="0"/>
    <n v="10965"/>
    <n v="5273358"/>
  </r>
  <r>
    <n v="419"/>
    <x v="4"/>
    <x v="4"/>
    <x v="10"/>
    <n v="3383771"/>
    <n v="3326464"/>
    <n v="0"/>
    <n v="8032"/>
    <n v="6710235"/>
  </r>
  <r>
    <n v="420"/>
    <x v="4"/>
    <x v="4"/>
    <x v="11"/>
    <n v="3370390"/>
    <n v="3366915"/>
    <n v="0"/>
    <n v="8000"/>
    <n v="6737305"/>
  </r>
  <r>
    <n v="421"/>
    <x v="4"/>
    <x v="4"/>
    <x v="12"/>
    <n v="2779453"/>
    <n v="2868318"/>
    <n v="0"/>
    <n v="6956"/>
    <n v="5647771"/>
  </r>
  <r>
    <n v="422"/>
    <x v="4"/>
    <x v="4"/>
    <x v="13"/>
    <n v="2312527"/>
    <n v="2564505"/>
    <n v="0"/>
    <n v="5983"/>
    <n v="4877032"/>
  </r>
  <r>
    <n v="423"/>
    <x v="4"/>
    <x v="4"/>
    <x v="14"/>
    <n v="1718280"/>
    <n v="1955815"/>
    <n v="0"/>
    <n v="5043"/>
    <n v="3674095"/>
  </r>
  <r>
    <n v="424"/>
    <x v="4"/>
    <x v="4"/>
    <x v="15"/>
    <n v="1733030"/>
    <n v="2143390"/>
    <n v="0"/>
    <n v="2081"/>
    <n v="3876420"/>
  </r>
  <r>
    <n v="425"/>
    <x v="4"/>
    <x v="4"/>
    <x v="16"/>
    <n v="2163874"/>
    <n v="3517261"/>
    <n v="0"/>
    <n v="8054"/>
    <n v="568113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1A21F2-0BBB-4E87-B679-56B8CF4CC406}"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2">
  <location ref="V6:W12" firstHeaderRow="1" firstDataRow="1" firstDataCol="1" rowPageCount="1" colPageCount="1"/>
  <pivotFields count="13">
    <pivotField showAll="0"/>
    <pivotField axis="axisPage" multipleItemSelectionAllowed="1" showAll="0">
      <items count="6">
        <item h="1" x="1"/>
        <item h="1" x="4"/>
        <item x="0"/>
        <item h="1" x="3"/>
        <item h="1" x="2"/>
        <item t="default"/>
      </items>
    </pivotField>
    <pivotField axis="axisRow" showAll="0">
      <items count="6">
        <item x="0"/>
        <item x="1"/>
        <item x="2"/>
        <item x="3"/>
        <item x="4"/>
        <item t="default"/>
      </items>
    </pivotField>
    <pivotField showAll="0"/>
    <pivotField showAll="0"/>
    <pivotField showAll="0"/>
    <pivotField showAll="0"/>
    <pivotField showAll="0"/>
    <pivotField showAll="0"/>
    <pivotField dragToRow="0" dragToCol="0" dragToPage="0" showAll="0" defaultSubtotal="0"/>
    <pivotField dragToRow="0" dragToCol="0" dragToPage="0" showAll="0" defaultSubtotal="0"/>
    <pivotField dataField="1" dragToRow="0" dragToCol="0" dragToPage="0" showAll="0" defaultSubtotal="0"/>
    <pivotField dragToRow="0" dragToCol="0" dragToPage="0" showAll="0" defaultSubtotal="0"/>
  </pivotFields>
  <rowFields count="1">
    <field x="2"/>
  </rowFields>
  <rowItems count="6">
    <i>
      <x/>
    </i>
    <i>
      <x v="1"/>
    </i>
    <i>
      <x v="2"/>
    </i>
    <i>
      <x v="3"/>
    </i>
    <i>
      <x v="4"/>
    </i>
    <i t="grand">
      <x/>
    </i>
  </rowItems>
  <colItems count="1">
    <i/>
  </colItems>
  <pageFields count="1">
    <pageField fld="1" hier="-1"/>
  </pageFields>
  <dataFields count="1">
    <dataField name="Sex ratios" fld="11" baseField="2" baseItem="0"/>
  </dataFields>
  <chartFormats count="3">
    <chartFormat chart="3"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4DF292B-9B4D-4C6E-AA44-1F1DFABAF3E6}" name="PivotTable1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K6:L24" firstHeaderRow="1" firstDataRow="1" firstDataCol="1" rowPageCount="2" colPageCount="1"/>
  <pivotFields count="13">
    <pivotField showAll="0"/>
    <pivotField axis="axisPage" multipleItemSelectionAllowed="1" showAll="0">
      <items count="6">
        <item h="1" x="1"/>
        <item h="1" x="4"/>
        <item x="0"/>
        <item h="1" x="3"/>
        <item h="1" x="2"/>
        <item t="default"/>
      </items>
    </pivotField>
    <pivotField axis="axisPage" showAll="0">
      <items count="6">
        <item x="0"/>
        <item x="1"/>
        <item x="2"/>
        <item x="3"/>
        <item x="4"/>
        <item t="default"/>
      </items>
    </pivotField>
    <pivotField axis="axisRow" showAll="0">
      <items count="18">
        <item x="0"/>
        <item x="1"/>
        <item x="2"/>
        <item x="3"/>
        <item x="4"/>
        <item x="5"/>
        <item x="6"/>
        <item x="7"/>
        <item x="8"/>
        <item x="9"/>
        <item x="10"/>
        <item x="11"/>
        <item x="12"/>
        <item x="13"/>
        <item x="14"/>
        <item x="15"/>
        <item x="16"/>
        <item t="default"/>
      </items>
    </pivotField>
    <pivotField showAll="0"/>
    <pivotField showAll="0"/>
    <pivotField showAll="0"/>
    <pivotField showAll="0"/>
    <pivotField dataField="1"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3"/>
  </rowFields>
  <rowItems count="18">
    <i>
      <x/>
    </i>
    <i>
      <x v="1"/>
    </i>
    <i>
      <x v="2"/>
    </i>
    <i>
      <x v="3"/>
    </i>
    <i>
      <x v="4"/>
    </i>
    <i>
      <x v="5"/>
    </i>
    <i>
      <x v="6"/>
    </i>
    <i>
      <x v="7"/>
    </i>
    <i>
      <x v="8"/>
    </i>
    <i>
      <x v="9"/>
    </i>
    <i>
      <x v="10"/>
    </i>
    <i>
      <x v="11"/>
    </i>
    <i>
      <x v="12"/>
    </i>
    <i>
      <x v="13"/>
    </i>
    <i>
      <x v="14"/>
    </i>
    <i>
      <x v="15"/>
    </i>
    <i>
      <x v="16"/>
    </i>
    <i t="grand">
      <x/>
    </i>
  </rowItems>
  <colItems count="1">
    <i/>
  </colItems>
  <pageFields count="2">
    <pageField fld="2" item="4" hier="-1"/>
    <pageField fld="1" hier="-1"/>
  </pageFields>
  <dataFields count="1">
    <dataField name="Sum of Total Population" fld="8" baseField="0" baseItem="0"/>
  </dataFields>
  <chartFormats count="37">
    <chartFormat chart="0" format="0" series="1">
      <pivotArea type="data" outline="0" fieldPosition="0">
        <references count="1">
          <reference field="4294967294" count="1" selected="0">
            <x v="0"/>
          </reference>
        </references>
      </pivotArea>
    </chartFormat>
    <chartFormat chart="2" format="19" series="1">
      <pivotArea type="data" outline="0" fieldPosition="0">
        <references count="1">
          <reference field="4294967294" count="1" selected="0">
            <x v="0"/>
          </reference>
        </references>
      </pivotArea>
    </chartFormat>
    <chartFormat chart="2" format="20">
      <pivotArea type="data" outline="0" fieldPosition="0">
        <references count="2">
          <reference field="4294967294" count="1" selected="0">
            <x v="0"/>
          </reference>
          <reference field="3" count="1" selected="0">
            <x v="0"/>
          </reference>
        </references>
      </pivotArea>
    </chartFormat>
    <chartFormat chart="2" format="21">
      <pivotArea type="data" outline="0" fieldPosition="0">
        <references count="2">
          <reference field="4294967294" count="1" selected="0">
            <x v="0"/>
          </reference>
          <reference field="3" count="1" selected="0">
            <x v="1"/>
          </reference>
        </references>
      </pivotArea>
    </chartFormat>
    <chartFormat chart="2" format="22">
      <pivotArea type="data" outline="0" fieldPosition="0">
        <references count="2">
          <reference field="4294967294" count="1" selected="0">
            <x v="0"/>
          </reference>
          <reference field="3" count="1" selected="0">
            <x v="2"/>
          </reference>
        </references>
      </pivotArea>
    </chartFormat>
    <chartFormat chart="2" format="23">
      <pivotArea type="data" outline="0" fieldPosition="0">
        <references count="2">
          <reference field="4294967294" count="1" selected="0">
            <x v="0"/>
          </reference>
          <reference field="3" count="1" selected="0">
            <x v="3"/>
          </reference>
        </references>
      </pivotArea>
    </chartFormat>
    <chartFormat chart="2" format="24">
      <pivotArea type="data" outline="0" fieldPosition="0">
        <references count="2">
          <reference field="4294967294" count="1" selected="0">
            <x v="0"/>
          </reference>
          <reference field="3" count="1" selected="0">
            <x v="4"/>
          </reference>
        </references>
      </pivotArea>
    </chartFormat>
    <chartFormat chart="2" format="25">
      <pivotArea type="data" outline="0" fieldPosition="0">
        <references count="2">
          <reference field="4294967294" count="1" selected="0">
            <x v="0"/>
          </reference>
          <reference field="3" count="1" selected="0">
            <x v="5"/>
          </reference>
        </references>
      </pivotArea>
    </chartFormat>
    <chartFormat chart="2" format="26">
      <pivotArea type="data" outline="0" fieldPosition="0">
        <references count="2">
          <reference field="4294967294" count="1" selected="0">
            <x v="0"/>
          </reference>
          <reference field="3" count="1" selected="0">
            <x v="6"/>
          </reference>
        </references>
      </pivotArea>
    </chartFormat>
    <chartFormat chart="2" format="27">
      <pivotArea type="data" outline="0" fieldPosition="0">
        <references count="2">
          <reference field="4294967294" count="1" selected="0">
            <x v="0"/>
          </reference>
          <reference field="3" count="1" selected="0">
            <x v="7"/>
          </reference>
        </references>
      </pivotArea>
    </chartFormat>
    <chartFormat chart="2" format="28">
      <pivotArea type="data" outline="0" fieldPosition="0">
        <references count="2">
          <reference field="4294967294" count="1" selected="0">
            <x v="0"/>
          </reference>
          <reference field="3" count="1" selected="0">
            <x v="8"/>
          </reference>
        </references>
      </pivotArea>
    </chartFormat>
    <chartFormat chart="2" format="29">
      <pivotArea type="data" outline="0" fieldPosition="0">
        <references count="2">
          <reference field="4294967294" count="1" selected="0">
            <x v="0"/>
          </reference>
          <reference field="3" count="1" selected="0">
            <x v="9"/>
          </reference>
        </references>
      </pivotArea>
    </chartFormat>
    <chartFormat chart="2" format="30">
      <pivotArea type="data" outline="0" fieldPosition="0">
        <references count="2">
          <reference field="4294967294" count="1" selected="0">
            <x v="0"/>
          </reference>
          <reference field="3" count="1" selected="0">
            <x v="10"/>
          </reference>
        </references>
      </pivotArea>
    </chartFormat>
    <chartFormat chart="2" format="31">
      <pivotArea type="data" outline="0" fieldPosition="0">
        <references count="2">
          <reference field="4294967294" count="1" selected="0">
            <x v="0"/>
          </reference>
          <reference field="3" count="1" selected="0">
            <x v="11"/>
          </reference>
        </references>
      </pivotArea>
    </chartFormat>
    <chartFormat chart="2" format="32">
      <pivotArea type="data" outline="0" fieldPosition="0">
        <references count="2">
          <reference field="4294967294" count="1" selected="0">
            <x v="0"/>
          </reference>
          <reference field="3" count="1" selected="0">
            <x v="12"/>
          </reference>
        </references>
      </pivotArea>
    </chartFormat>
    <chartFormat chart="2" format="33">
      <pivotArea type="data" outline="0" fieldPosition="0">
        <references count="2">
          <reference field="4294967294" count="1" selected="0">
            <x v="0"/>
          </reference>
          <reference field="3" count="1" selected="0">
            <x v="13"/>
          </reference>
        </references>
      </pivotArea>
    </chartFormat>
    <chartFormat chart="2" format="34">
      <pivotArea type="data" outline="0" fieldPosition="0">
        <references count="2">
          <reference field="4294967294" count="1" selected="0">
            <x v="0"/>
          </reference>
          <reference field="3" count="1" selected="0">
            <x v="14"/>
          </reference>
        </references>
      </pivotArea>
    </chartFormat>
    <chartFormat chart="2" format="35">
      <pivotArea type="data" outline="0" fieldPosition="0">
        <references count="2">
          <reference field="4294967294" count="1" selected="0">
            <x v="0"/>
          </reference>
          <reference field="3" count="1" selected="0">
            <x v="15"/>
          </reference>
        </references>
      </pivotArea>
    </chartFormat>
    <chartFormat chart="2" format="36">
      <pivotArea type="data" outline="0" fieldPosition="0">
        <references count="2">
          <reference field="4294967294" count="1" selected="0">
            <x v="0"/>
          </reference>
          <reference field="3" count="1" selected="0">
            <x v="16"/>
          </reference>
        </references>
      </pivotArea>
    </chartFormat>
    <chartFormat chart="4" format="55" series="1">
      <pivotArea type="data" outline="0" fieldPosition="0">
        <references count="1">
          <reference field="4294967294" count="1" selected="0">
            <x v="0"/>
          </reference>
        </references>
      </pivotArea>
    </chartFormat>
    <chartFormat chart="4" format="56">
      <pivotArea type="data" outline="0" fieldPosition="0">
        <references count="2">
          <reference field="4294967294" count="1" selected="0">
            <x v="0"/>
          </reference>
          <reference field="3" count="1" selected="0">
            <x v="0"/>
          </reference>
        </references>
      </pivotArea>
    </chartFormat>
    <chartFormat chart="4" format="57">
      <pivotArea type="data" outline="0" fieldPosition="0">
        <references count="2">
          <reference field="4294967294" count="1" selected="0">
            <x v="0"/>
          </reference>
          <reference field="3" count="1" selected="0">
            <x v="1"/>
          </reference>
        </references>
      </pivotArea>
    </chartFormat>
    <chartFormat chart="4" format="58">
      <pivotArea type="data" outline="0" fieldPosition="0">
        <references count="2">
          <reference field="4294967294" count="1" selected="0">
            <x v="0"/>
          </reference>
          <reference field="3" count="1" selected="0">
            <x v="2"/>
          </reference>
        </references>
      </pivotArea>
    </chartFormat>
    <chartFormat chart="4" format="59">
      <pivotArea type="data" outline="0" fieldPosition="0">
        <references count="2">
          <reference field="4294967294" count="1" selected="0">
            <x v="0"/>
          </reference>
          <reference field="3" count="1" selected="0">
            <x v="3"/>
          </reference>
        </references>
      </pivotArea>
    </chartFormat>
    <chartFormat chart="4" format="60">
      <pivotArea type="data" outline="0" fieldPosition="0">
        <references count="2">
          <reference field="4294967294" count="1" selected="0">
            <x v="0"/>
          </reference>
          <reference field="3" count="1" selected="0">
            <x v="4"/>
          </reference>
        </references>
      </pivotArea>
    </chartFormat>
    <chartFormat chart="4" format="61">
      <pivotArea type="data" outline="0" fieldPosition="0">
        <references count="2">
          <reference field="4294967294" count="1" selected="0">
            <x v="0"/>
          </reference>
          <reference field="3" count="1" selected="0">
            <x v="5"/>
          </reference>
        </references>
      </pivotArea>
    </chartFormat>
    <chartFormat chart="4" format="62">
      <pivotArea type="data" outline="0" fieldPosition="0">
        <references count="2">
          <reference field="4294967294" count="1" selected="0">
            <x v="0"/>
          </reference>
          <reference field="3" count="1" selected="0">
            <x v="6"/>
          </reference>
        </references>
      </pivotArea>
    </chartFormat>
    <chartFormat chart="4" format="63">
      <pivotArea type="data" outline="0" fieldPosition="0">
        <references count="2">
          <reference field="4294967294" count="1" selected="0">
            <x v="0"/>
          </reference>
          <reference field="3" count="1" selected="0">
            <x v="7"/>
          </reference>
        </references>
      </pivotArea>
    </chartFormat>
    <chartFormat chart="4" format="64">
      <pivotArea type="data" outline="0" fieldPosition="0">
        <references count="2">
          <reference field="4294967294" count="1" selected="0">
            <x v="0"/>
          </reference>
          <reference field="3" count="1" selected="0">
            <x v="8"/>
          </reference>
        </references>
      </pivotArea>
    </chartFormat>
    <chartFormat chart="4" format="65">
      <pivotArea type="data" outline="0" fieldPosition="0">
        <references count="2">
          <reference field="4294967294" count="1" selected="0">
            <x v="0"/>
          </reference>
          <reference field="3" count="1" selected="0">
            <x v="9"/>
          </reference>
        </references>
      </pivotArea>
    </chartFormat>
    <chartFormat chart="4" format="66">
      <pivotArea type="data" outline="0" fieldPosition="0">
        <references count="2">
          <reference field="4294967294" count="1" selected="0">
            <x v="0"/>
          </reference>
          <reference field="3" count="1" selected="0">
            <x v="10"/>
          </reference>
        </references>
      </pivotArea>
    </chartFormat>
    <chartFormat chart="4" format="67">
      <pivotArea type="data" outline="0" fieldPosition="0">
        <references count="2">
          <reference field="4294967294" count="1" selected="0">
            <x v="0"/>
          </reference>
          <reference field="3" count="1" selected="0">
            <x v="11"/>
          </reference>
        </references>
      </pivotArea>
    </chartFormat>
    <chartFormat chart="4" format="68">
      <pivotArea type="data" outline="0" fieldPosition="0">
        <references count="2">
          <reference field="4294967294" count="1" selected="0">
            <x v="0"/>
          </reference>
          <reference field="3" count="1" selected="0">
            <x v="12"/>
          </reference>
        </references>
      </pivotArea>
    </chartFormat>
    <chartFormat chart="4" format="69">
      <pivotArea type="data" outline="0" fieldPosition="0">
        <references count="2">
          <reference field="4294967294" count="1" selected="0">
            <x v="0"/>
          </reference>
          <reference field="3" count="1" selected="0">
            <x v="13"/>
          </reference>
        </references>
      </pivotArea>
    </chartFormat>
    <chartFormat chart="4" format="70">
      <pivotArea type="data" outline="0" fieldPosition="0">
        <references count="2">
          <reference field="4294967294" count="1" selected="0">
            <x v="0"/>
          </reference>
          <reference field="3" count="1" selected="0">
            <x v="14"/>
          </reference>
        </references>
      </pivotArea>
    </chartFormat>
    <chartFormat chart="4" format="71">
      <pivotArea type="data" outline="0" fieldPosition="0">
        <references count="2">
          <reference field="4294967294" count="1" selected="0">
            <x v="0"/>
          </reference>
          <reference field="3" count="1" selected="0">
            <x v="15"/>
          </reference>
        </references>
      </pivotArea>
    </chartFormat>
    <chartFormat chart="4" format="72">
      <pivotArea type="data" outline="0" fieldPosition="0">
        <references count="2">
          <reference field="4294967294" count="1" selected="0">
            <x v="0"/>
          </reference>
          <reference field="3" count="1" selected="0">
            <x v="1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92F80EC-E30A-4FEF-ACB5-D379E26FF95B}" name="PivotTable1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N6:P12" firstHeaderRow="0" firstDataRow="1" firstDataCol="1" rowPageCount="1" colPageCount="1"/>
  <pivotFields count="13">
    <pivotField showAll="0"/>
    <pivotField axis="axisPage" multipleItemSelectionAllowed="1" showAll="0">
      <items count="6">
        <item h="1" x="1"/>
        <item h="1" x="4"/>
        <item x="0"/>
        <item h="1" x="3"/>
        <item h="1" x="2"/>
        <item t="default"/>
      </items>
    </pivotField>
    <pivotField axis="axisRow" showAll="0">
      <items count="6">
        <item x="0"/>
        <item x="1"/>
        <item x="2"/>
        <item x="3"/>
        <item x="4"/>
        <item t="default"/>
      </items>
    </pivotField>
    <pivotField showAll="0"/>
    <pivotField showAll="0"/>
    <pivotField showAll="0"/>
    <pivotField dataField="1" showAll="0"/>
    <pivotField showAll="0"/>
    <pivotField showAl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6">
    <i>
      <x/>
    </i>
    <i>
      <x v="1"/>
    </i>
    <i>
      <x v="2"/>
    </i>
    <i>
      <x v="3"/>
    </i>
    <i>
      <x v="4"/>
    </i>
    <i t="grand">
      <x/>
    </i>
  </rowItems>
  <colFields count="1">
    <field x="-2"/>
  </colFields>
  <colItems count="2">
    <i>
      <x/>
    </i>
    <i i="1">
      <x v="1"/>
    </i>
  </colItems>
  <pageFields count="1">
    <pageField fld="1" hier="-1"/>
  </pageFields>
  <dataFields count="2">
    <dataField name="No. of Births" fld="6" baseField="2" baseItem="0"/>
    <dataField name="Average of Birth Rates" fld="9" subtotal="average" baseField="1" baseItem="0"/>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4" format="8"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225CD5F-F37C-45F8-85C9-74AA65052617}" name="PivotTable1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G6:I12" firstHeaderRow="0" firstDataRow="1" firstDataCol="1" rowPageCount="1" colPageCount="1"/>
  <pivotFields count="13">
    <pivotField showAll="0"/>
    <pivotField axis="axisPage" showAll="0">
      <items count="6">
        <item x="1"/>
        <item x="4"/>
        <item x="0"/>
        <item x="3"/>
        <item x="2"/>
        <item t="default"/>
      </items>
    </pivotField>
    <pivotField axis="axisRow" showAll="0">
      <items count="6">
        <item x="0"/>
        <item x="1"/>
        <item x="2"/>
        <item x="3"/>
        <item x="4"/>
        <item t="default"/>
      </items>
    </pivotField>
    <pivotField showAll="0"/>
    <pivotField dataField="1" showAll="0"/>
    <pivotField dataField="1"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6">
    <i>
      <x/>
    </i>
    <i>
      <x v="1"/>
    </i>
    <i>
      <x v="2"/>
    </i>
    <i>
      <x v="3"/>
    </i>
    <i>
      <x v="4"/>
    </i>
    <i t="grand">
      <x/>
    </i>
  </rowItems>
  <colFields count="1">
    <field x="-2"/>
  </colFields>
  <colItems count="2">
    <i>
      <x/>
    </i>
    <i i="1">
      <x v="1"/>
    </i>
  </colItems>
  <pageFields count="1">
    <pageField fld="1" item="2" hier="-1"/>
  </pageFields>
  <dataFields count="2">
    <dataField name="Sum of Male Population" fld="4" baseField="0" baseItem="0"/>
    <dataField name="Sum of Female Population" fld="5" baseField="0" baseItem="0"/>
  </dataFields>
  <chartFormats count="4">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4" format="8"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3C249ED-5700-48FF-BE54-A197A7B52C65}" name="PivotTable1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C6:E24" firstHeaderRow="0" firstDataRow="1" firstDataCol="1" rowPageCount="2" colPageCount="1"/>
  <pivotFields count="13">
    <pivotField showAll="0"/>
    <pivotField axis="axisPage" multipleItemSelectionAllowed="1" showAll="0">
      <items count="6">
        <item h="1" x="1"/>
        <item h="1" x="4"/>
        <item x="0"/>
        <item h="1" x="3"/>
        <item h="1" x="2"/>
        <item t="default"/>
      </items>
    </pivotField>
    <pivotField axis="axisPage" showAll="0">
      <items count="6">
        <item x="0"/>
        <item x="1"/>
        <item x="2"/>
        <item x="3"/>
        <item x="4"/>
        <item t="default"/>
      </items>
    </pivotField>
    <pivotField axis="axisRow" showAll="0">
      <items count="18">
        <item x="0"/>
        <item x="1"/>
        <item x="2"/>
        <item x="3"/>
        <item x="4"/>
        <item x="5"/>
        <item x="6"/>
        <item x="7"/>
        <item x="8"/>
        <item x="9"/>
        <item x="10"/>
        <item x="11"/>
        <item x="12"/>
        <item x="13"/>
        <item x="14"/>
        <item x="15"/>
        <item x="16"/>
        <item t="default"/>
      </items>
    </pivotField>
    <pivotField showAll="0"/>
    <pivotField dataField="1"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s>
  <rowFields count="1">
    <field x="3"/>
  </rowFields>
  <rowItems count="18">
    <i>
      <x/>
    </i>
    <i>
      <x v="1"/>
    </i>
    <i>
      <x v="2"/>
    </i>
    <i>
      <x v="3"/>
    </i>
    <i>
      <x v="4"/>
    </i>
    <i>
      <x v="5"/>
    </i>
    <i>
      <x v="6"/>
    </i>
    <i>
      <x v="7"/>
    </i>
    <i>
      <x v="8"/>
    </i>
    <i>
      <x v="9"/>
    </i>
    <i>
      <x v="10"/>
    </i>
    <i>
      <x v="11"/>
    </i>
    <i>
      <x v="12"/>
    </i>
    <i>
      <x v="13"/>
    </i>
    <i>
      <x v="14"/>
    </i>
    <i>
      <x v="15"/>
    </i>
    <i>
      <x v="16"/>
    </i>
    <i t="grand">
      <x/>
    </i>
  </rowItems>
  <colFields count="1">
    <field x="-2"/>
  </colFields>
  <colItems count="2">
    <i>
      <x/>
    </i>
    <i i="1">
      <x v="1"/>
    </i>
  </colItems>
  <pageFields count="2">
    <pageField fld="2" item="4" hier="-1"/>
    <pageField fld="1" hier="-1"/>
  </pageFields>
  <dataFields count="2">
    <dataField name="Sum of Female Population" fld="5" baseField="0" baseItem="0"/>
    <dataField name="Sum of Male Population" fld="12" baseField="3" baseItem="0"/>
  </dataFields>
  <chartFormats count="4">
    <chartFormat chart="2" format="4" series="1">
      <pivotArea type="data" outline="0" fieldPosition="0">
        <references count="1">
          <reference field="4294967294" count="1" selected="0">
            <x v="0"/>
          </reference>
        </references>
      </pivotArea>
    </chartFormat>
    <chartFormat chart="4" format="8"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1"/>
          </reference>
        </references>
      </pivotArea>
    </chartFormat>
    <chartFormat chart="4" format="10"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823D250-5DAE-4443-B6F1-A67872FB1EC0}" name="PivotTable1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R6:T12" firstHeaderRow="0" firstDataRow="1" firstDataCol="1" rowPageCount="1" colPageCount="1"/>
  <pivotFields count="13">
    <pivotField showAll="0"/>
    <pivotField axis="axisPage" multipleItemSelectionAllowed="1" showAll="0">
      <items count="6">
        <item h="1" x="1"/>
        <item h="1" x="4"/>
        <item x="0"/>
        <item h="1" x="3"/>
        <item h="1" x="2"/>
        <item t="default"/>
      </items>
    </pivotField>
    <pivotField axis="axisRow" showAll="0">
      <items count="6">
        <item x="0"/>
        <item x="1"/>
        <item x="2"/>
        <item x="3"/>
        <item x="4"/>
        <item t="default"/>
      </items>
    </pivotField>
    <pivotField showAll="0"/>
    <pivotField showAll="0"/>
    <pivotField showAll="0"/>
    <pivotField showAll="0"/>
    <pivotField dataField="1" showAll="0"/>
    <pivotField showAll="0"/>
    <pivotField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s>
  <rowFields count="1">
    <field x="2"/>
  </rowFields>
  <rowItems count="6">
    <i>
      <x/>
    </i>
    <i>
      <x v="1"/>
    </i>
    <i>
      <x v="2"/>
    </i>
    <i>
      <x v="3"/>
    </i>
    <i>
      <x v="4"/>
    </i>
    <i t="grand">
      <x/>
    </i>
  </rowItems>
  <colFields count="1">
    <field x="-2"/>
  </colFields>
  <colItems count="2">
    <i>
      <x/>
    </i>
    <i i="1">
      <x v="1"/>
    </i>
  </colItems>
  <pageFields count="1">
    <pageField fld="1" hier="-1"/>
  </pageFields>
  <dataFields count="2">
    <dataField name="No. of Deaths" fld="7" baseField="2" baseItem="0"/>
    <dataField name="Average of Death rates" fld="10" subtotal="average" baseField="1"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4" format="8"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_Name" xr10:uid="{77449A45-4601-45DA-89EB-1C374C4A39B5}" sourceName="Country Name">
  <pivotTables>
    <pivotTable tabId="8" name="PivotTable12"/>
    <pivotTable tabId="8" name="PivotTable13"/>
    <pivotTable tabId="8" name="PivotTable14"/>
    <pivotTable tabId="8" name="PivotTable15"/>
    <pivotTable tabId="8" name="PivotTable16"/>
    <pivotTable tabId="8" name="PivotTable2"/>
  </pivotTables>
  <data>
    <tabular pivotCacheId="1781244083">
      <items count="5">
        <i x="1"/>
        <i x="4"/>
        <i x="0" s="1"/>
        <i x="3"/>
        <i x="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1F55FC90-9656-4F9A-AB92-D1076451ACC0}" sourceName="Year">
  <pivotTables>
    <pivotTable tabId="8" name="PivotTable12"/>
    <pivotTable tabId="8" name="PivotTable14"/>
  </pivotTables>
  <data>
    <tabular pivotCacheId="1781244083">
      <items count="5">
        <i x="0"/>
        <i x="1"/>
        <i x="2"/>
        <i x="3"/>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Name 1" xr10:uid="{1E82319D-B402-444C-866E-85537A7F8E15}" cache="Slicer_Country_Name" caption="Country Name" columnCount="5" style="Slicer Style 1" rowHeight="234950"/>
  <slicer name="Year 1" xr10:uid="{71A64783-172D-420F-B2BC-1B8A1EE2EE4D}" cache="Slicer_Year" caption="Year" columnCount="5" style="Slicer Style 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Name" xr10:uid="{94148A70-C2C0-45FC-981A-9FDEBB9AB4E4}" cache="Slicer_Country_Name" caption="Country Name" rowHeight="234950"/>
  <slicer name="Year" xr10:uid="{8F8E8552-B2D0-4719-B3AC-DB3F91A4E81C}" cache="Slicer_Year" caption="Yea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A3B5901-5DDD-487F-BE58-7899A4A17D23}" name="Dataset" displayName="Dataset" ref="B4:J429" totalsRowShown="0" dataDxfId="9">
  <autoFilter ref="B4:J429" xr:uid="{9A3B5901-5DDD-487F-BE58-7899A4A17D23}"/>
  <tableColumns count="9">
    <tableColumn id="1" xr3:uid="{B5F24001-1935-4A88-9E67-384041B96850}" name="Sr No." dataDxfId="8"/>
    <tableColumn id="2" xr3:uid="{600FB1B2-11C1-4E4E-A418-EC8E63EEA5BC}" name="Country Name" dataDxfId="7"/>
    <tableColumn id="3" xr3:uid="{8B9B7A85-7EA2-4608-9C16-D6B63280CAF9}" name="Year" dataDxfId="6"/>
    <tableColumn id="4" xr3:uid="{88EF14B4-190A-4021-8F1D-F27FD7A01DBB}" name="Age Group" dataDxfId="5"/>
    <tableColumn id="5" xr3:uid="{F1A87923-1753-493F-8221-309F24E5D2D7}" name="Male Population" dataDxfId="4"/>
    <tableColumn id="6" xr3:uid="{77D63514-D086-4CD2-B90C-968203E531BF}" name="Female Population" dataDxfId="3"/>
    <tableColumn id="7" xr3:uid="{389B3EFA-0491-40DE-B219-7A53D1DDA005}" name="Births" dataDxfId="2"/>
    <tableColumn id="8" xr3:uid="{1DB316A3-6BAD-49D8-AED3-9C3B4C49B1F1}" name="Deaths" dataDxfId="1"/>
    <tableColumn id="9" xr3:uid="{02127CCC-A8BD-4142-A7D1-5BCB2868BA35}" name="Total Population" dataDxfId="0">
      <calculatedColumnFormula>SUM(F5:G5)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5F20C60-737A-40C5-BE1B-7A62D22A579D}" name="Dataset2" displayName="Dataset2" ref="A1:H426" totalsRowShown="0">
  <autoFilter ref="A1:H426" xr:uid="{35F20C60-737A-40C5-BE1B-7A62D22A579D}"/>
  <tableColumns count="8">
    <tableColumn id="2" xr3:uid="{0FA69482-1E2E-4142-B0E4-51A4912B50D8}" name="Country Name"/>
    <tableColumn id="3" xr3:uid="{C9D1825B-9CBF-46B7-8D91-4F3402BE7FA0}" name="Year"/>
    <tableColumn id="4" xr3:uid="{C2270306-BC76-4B70-AA5F-9442491A9413}" name="Age Group"/>
    <tableColumn id="5" xr3:uid="{A1FE53C7-AD89-45EA-ABE7-F8D50B0542DE}" name="Male Population"/>
    <tableColumn id="6" xr3:uid="{EC8D545B-9961-4762-935A-213A84B5712F}" name="Female Population"/>
    <tableColumn id="7" xr3:uid="{5AB44C4B-6C2B-4270-99D2-27EA3CD01B4C}" name="Births"/>
    <tableColumn id="8" xr3:uid="{E6AEA3CA-5E53-444B-9C40-1FEA9CF2AF19}" name="Deaths"/>
    <tableColumn id="9" xr3:uid="{C90B4263-2DAA-4778-9336-5C2F8C4C8AEF}" name="Total Population">
      <calculatedColumnFormula>SUM(D2:F2)</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Red Orange">
      <a:dk1>
        <a:sysClr val="windowText" lastClr="000000"/>
      </a:dk1>
      <a:lt1>
        <a:sysClr val="window" lastClr="FFFFFF"/>
      </a:lt1>
      <a:dk2>
        <a:srgbClr val="505046"/>
      </a:dk2>
      <a:lt2>
        <a:srgbClr val="EEECE1"/>
      </a:lt2>
      <a:accent1>
        <a:srgbClr val="E84C22"/>
      </a:accent1>
      <a:accent2>
        <a:srgbClr val="FFBD47"/>
      </a:accent2>
      <a:accent3>
        <a:srgbClr val="B64926"/>
      </a:accent3>
      <a:accent4>
        <a:srgbClr val="FF8427"/>
      </a:accent4>
      <a:accent5>
        <a:srgbClr val="CC9900"/>
      </a:accent5>
      <a:accent6>
        <a:srgbClr val="B22600"/>
      </a:accent6>
      <a:hlink>
        <a:srgbClr val="CC9900"/>
      </a:hlink>
      <a:folHlink>
        <a:srgbClr val="6666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B957EE-C149-47C3-B31B-5DCA85C6D78C}">
  <sheetPr codeName="Sheet1"/>
  <dimension ref="A1"/>
  <sheetViews>
    <sheetView showGridLines="0" showRowColHeaders="0" zoomScale="86" zoomScaleNormal="86" workbookViewId="0"/>
  </sheetViews>
  <sheetFormatPr defaultRowHeight="14.4" x14ac:dyDescent="0.3"/>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D7826-41D5-43D7-B049-5697C028AAE2}">
  <sheetPr codeName="Sheet2"/>
  <dimension ref="A1:E1"/>
  <sheetViews>
    <sheetView zoomScale="40" zoomScaleNormal="40" workbookViewId="0"/>
  </sheetViews>
  <sheetFormatPr defaultRowHeight="14.4" x14ac:dyDescent="0.3"/>
  <cols>
    <col min="1" max="1" width="10.33203125" customWidth="1"/>
    <col min="14" max="14" width="10.6640625" customWidth="1"/>
    <col min="15" max="15" width="7.5546875" customWidth="1"/>
  </cols>
  <sheetData>
    <row r="1" spans="1:5" ht="30.6" customHeight="1" x14ac:dyDescent="0.3">
      <c r="A1" s="11" t="s">
        <v>41</v>
      </c>
      <c r="C1" s="12" t="s">
        <v>44</v>
      </c>
      <c r="D1" s="13"/>
      <c r="E1" s="13"/>
    </row>
  </sheetData>
  <mergeCells count="1">
    <mergeCell ref="C1:E1"/>
  </mergeCells>
  <hyperlinks>
    <hyperlink ref="A1" location="Dashboard!A1" display="Dashboard!A1" xr:uid="{45052F3D-F2AD-4943-975A-FA076C8ECCEE}"/>
  </hyperlink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D64D7-AC64-4878-9BD0-19F4A0563380}">
  <sheetPr codeName="Sheet3"/>
  <dimension ref="A1:W24"/>
  <sheetViews>
    <sheetView showFormulas="1" zoomScale="70" zoomScaleNormal="70" workbookViewId="0">
      <selection activeCell="B1" sqref="B1"/>
    </sheetView>
  </sheetViews>
  <sheetFormatPr defaultRowHeight="14.4" x14ac:dyDescent="0.3"/>
  <cols>
    <col min="1" max="1" width="6.33203125" customWidth="1"/>
    <col min="2" max="2" width="1.33203125" customWidth="1"/>
    <col min="3" max="3" width="7" bestFit="1" customWidth="1"/>
    <col min="4" max="4" width="12.21875" bestFit="1" customWidth="1"/>
    <col min="5" max="5" width="11.109375" bestFit="1" customWidth="1"/>
    <col min="6" max="6" width="1.21875" customWidth="1"/>
    <col min="7" max="7" width="7" bestFit="1" customWidth="1"/>
    <col min="8" max="8" width="11.109375" bestFit="1" customWidth="1"/>
    <col min="9" max="9" width="12.21875" bestFit="1" customWidth="1"/>
    <col min="10" max="10" width="1.5546875" customWidth="1"/>
    <col min="11" max="11" width="7" bestFit="1" customWidth="1"/>
    <col min="12" max="12" width="11.109375" bestFit="1" customWidth="1"/>
    <col min="13" max="13" width="1.33203125" customWidth="1"/>
    <col min="14" max="14" width="7" bestFit="1" customWidth="1"/>
    <col min="15" max="15" width="6" bestFit="1" customWidth="1"/>
    <col min="16" max="16" width="10.44140625" bestFit="1" customWidth="1"/>
    <col min="17" max="17" width="1.44140625" customWidth="1"/>
    <col min="18" max="18" width="7" bestFit="1" customWidth="1"/>
    <col min="19" max="19" width="6.44140625" bestFit="1" customWidth="1"/>
    <col min="20" max="20" width="10.77734375" bestFit="1" customWidth="1"/>
    <col min="21" max="21" width="1.33203125" customWidth="1"/>
    <col min="22" max="22" width="7" bestFit="1" customWidth="1"/>
    <col min="23" max="23" width="9.21875" bestFit="1" customWidth="1"/>
    <col min="24" max="25" width="10.21875" bestFit="1" customWidth="1"/>
  </cols>
  <sheetData>
    <row r="1" spans="1:23" ht="28.2" customHeight="1" x14ac:dyDescent="0.3">
      <c r="A1" s="11" t="s">
        <v>41</v>
      </c>
      <c r="C1" s="12" t="s">
        <v>43</v>
      </c>
      <c r="D1" s="13"/>
      <c r="E1" s="13"/>
    </row>
    <row r="3" spans="1:23" x14ac:dyDescent="0.3">
      <c r="C3" s="3" t="s">
        <v>1</v>
      </c>
      <c r="D3" s="2">
        <v>2019</v>
      </c>
      <c r="K3" s="3" t="s">
        <v>1</v>
      </c>
      <c r="L3" s="2">
        <v>2019</v>
      </c>
    </row>
    <row r="4" spans="1:23" x14ac:dyDescent="0.3">
      <c r="C4" s="3" t="s">
        <v>2</v>
      </c>
      <c r="D4" t="s">
        <v>6</v>
      </c>
      <c r="G4" s="3" t="s">
        <v>2</v>
      </c>
      <c r="H4" t="s">
        <v>6</v>
      </c>
      <c r="K4" s="3" t="s">
        <v>2</v>
      </c>
      <c r="L4" t="s">
        <v>6</v>
      </c>
      <c r="N4" s="3" t="s">
        <v>2</v>
      </c>
      <c r="O4" t="s">
        <v>6</v>
      </c>
      <c r="R4" s="3" t="s">
        <v>2</v>
      </c>
      <c r="S4" t="s">
        <v>6</v>
      </c>
      <c r="V4" s="3" t="s">
        <v>2</v>
      </c>
      <c r="W4" t="s">
        <v>6</v>
      </c>
    </row>
    <row r="6" spans="1:23" x14ac:dyDescent="0.3">
      <c r="C6" s="3" t="s">
        <v>29</v>
      </c>
      <c r="D6" t="s">
        <v>32</v>
      </c>
      <c r="E6" t="s">
        <v>31</v>
      </c>
      <c r="G6" s="3" t="s">
        <v>29</v>
      </c>
      <c r="H6" t="s">
        <v>31</v>
      </c>
      <c r="I6" t="s">
        <v>32</v>
      </c>
      <c r="K6" s="3" t="s">
        <v>29</v>
      </c>
      <c r="L6" t="s">
        <v>33</v>
      </c>
      <c r="N6" s="3" t="s">
        <v>29</v>
      </c>
      <c r="O6" t="s">
        <v>38</v>
      </c>
      <c r="P6" t="s">
        <v>36</v>
      </c>
      <c r="R6" s="3" t="s">
        <v>29</v>
      </c>
      <c r="S6" t="s">
        <v>39</v>
      </c>
      <c r="T6" t="s">
        <v>37</v>
      </c>
      <c r="V6" s="3" t="s">
        <v>29</v>
      </c>
      <c r="W6" t="s">
        <v>40</v>
      </c>
    </row>
    <row r="7" spans="1:23" x14ac:dyDescent="0.3">
      <c r="C7" s="2" t="s">
        <v>9</v>
      </c>
      <c r="D7" s="1">
        <v>55596970</v>
      </c>
      <c r="E7" s="1">
        <v>-61184852</v>
      </c>
      <c r="G7" s="2">
        <v>2015</v>
      </c>
      <c r="H7" s="1">
        <v>680923338</v>
      </c>
      <c r="I7" s="1">
        <v>628929060</v>
      </c>
      <c r="K7" s="2" t="s">
        <v>9</v>
      </c>
      <c r="L7" s="1">
        <v>116781822</v>
      </c>
      <c r="N7" s="2">
        <v>2015</v>
      </c>
      <c r="O7" s="1">
        <v>24813844</v>
      </c>
      <c r="P7" s="1">
        <v>18.944000131532377</v>
      </c>
      <c r="R7" s="2">
        <v>2015</v>
      </c>
      <c r="S7" s="1">
        <v>9619556</v>
      </c>
      <c r="T7" s="1">
        <v>7.34399999166929</v>
      </c>
      <c r="V7" s="2">
        <v>2015</v>
      </c>
      <c r="W7" s="1">
        <v>923.64150984644323</v>
      </c>
    </row>
    <row r="8" spans="1:23" x14ac:dyDescent="0.3">
      <c r="C8" s="2" t="s">
        <v>10</v>
      </c>
      <c r="D8" s="1">
        <v>57039427</v>
      </c>
      <c r="E8" s="1">
        <v>-62910580</v>
      </c>
      <c r="G8" s="2">
        <v>2016</v>
      </c>
      <c r="H8" s="1">
        <v>688600701</v>
      </c>
      <c r="I8" s="1">
        <v>635908884</v>
      </c>
      <c r="K8" s="2" t="s">
        <v>10</v>
      </c>
      <c r="L8" s="1">
        <v>119950007</v>
      </c>
      <c r="N8" s="2">
        <v>2016</v>
      </c>
      <c r="O8" s="1">
        <v>24656980</v>
      </c>
      <c r="P8" s="1">
        <v>18.61593172238161</v>
      </c>
      <c r="R8" s="2">
        <v>2016</v>
      </c>
      <c r="S8" s="1">
        <v>9588436</v>
      </c>
      <c r="T8" s="1">
        <v>7.2392348900970767</v>
      </c>
      <c r="V8" s="2">
        <v>2016</v>
      </c>
      <c r="W8" s="1">
        <v>923.47986732589743</v>
      </c>
    </row>
    <row r="9" spans="1:23" x14ac:dyDescent="0.3">
      <c r="C9" s="2" t="s">
        <v>11</v>
      </c>
      <c r="D9" s="1">
        <v>60172728</v>
      </c>
      <c r="E9" s="1">
        <v>-66812183</v>
      </c>
      <c r="G9" s="2">
        <v>2017</v>
      </c>
      <c r="H9" s="1">
        <v>695871193</v>
      </c>
      <c r="I9" s="1">
        <v>642787641</v>
      </c>
      <c r="K9" s="2" t="s">
        <v>11</v>
      </c>
      <c r="L9" s="1">
        <v>126984911</v>
      </c>
      <c r="N9" s="2">
        <v>2017</v>
      </c>
      <c r="O9" s="1">
        <v>24497462</v>
      </c>
      <c r="P9" s="1">
        <v>18.300003987423729</v>
      </c>
      <c r="R9" s="2">
        <v>2017</v>
      </c>
      <c r="S9" s="1">
        <v>9697245</v>
      </c>
      <c r="T9" s="1">
        <v>7.244000303665123</v>
      </c>
      <c r="V9" s="2">
        <v>2017</v>
      </c>
      <c r="W9" s="1">
        <v>923.71641112035513</v>
      </c>
    </row>
    <row r="10" spans="1:23" x14ac:dyDescent="0.3">
      <c r="C10" s="2" t="s">
        <v>12</v>
      </c>
      <c r="D10" s="1">
        <v>59164382</v>
      </c>
      <c r="E10" s="1">
        <v>-66525044</v>
      </c>
      <c r="G10" s="2">
        <v>2018</v>
      </c>
      <c r="H10" s="1">
        <v>703042612</v>
      </c>
      <c r="I10" s="1">
        <v>649567720</v>
      </c>
      <c r="K10" s="2" t="s">
        <v>12</v>
      </c>
      <c r="L10" s="1">
        <v>125689426</v>
      </c>
      <c r="N10" s="2">
        <v>2018</v>
      </c>
      <c r="O10" s="1">
        <v>24346991</v>
      </c>
      <c r="P10" s="1">
        <v>18.000003714299588</v>
      </c>
      <c r="R10" s="2">
        <v>2018</v>
      </c>
      <c r="S10" s="1">
        <v>9779373</v>
      </c>
      <c r="T10" s="1">
        <v>7.2300002215272148</v>
      </c>
      <c r="V10" s="2">
        <v>2018</v>
      </c>
      <c r="W10" s="1">
        <v>923.93790776369042</v>
      </c>
    </row>
    <row r="11" spans="1:23" x14ac:dyDescent="0.3">
      <c r="C11" s="2" t="s">
        <v>13</v>
      </c>
      <c r="D11" s="1">
        <v>57319089</v>
      </c>
      <c r="E11" s="1">
        <v>-64478247</v>
      </c>
      <c r="G11" s="2">
        <v>2019</v>
      </c>
      <c r="H11" s="1">
        <v>710129572</v>
      </c>
      <c r="I11" s="1">
        <v>656288184</v>
      </c>
      <c r="K11" s="2" t="s">
        <v>13</v>
      </c>
      <c r="L11" s="1">
        <v>121797336</v>
      </c>
      <c r="N11" s="2">
        <v>2019</v>
      </c>
      <c r="O11" s="1">
        <v>24322245</v>
      </c>
      <c r="P11" s="1">
        <v>17.800006544996918</v>
      </c>
      <c r="R11" s="2">
        <v>2019</v>
      </c>
      <c r="S11" s="1">
        <v>9933857</v>
      </c>
      <c r="T11" s="1">
        <v>7.2699999369738872</v>
      </c>
      <c r="V11" s="2">
        <v>2019</v>
      </c>
      <c r="W11" s="1">
        <v>924.18089582107984</v>
      </c>
    </row>
    <row r="12" spans="1:23" x14ac:dyDescent="0.3">
      <c r="C12" s="2" t="s">
        <v>14</v>
      </c>
      <c r="D12" s="1">
        <v>55079640</v>
      </c>
      <c r="E12" s="1">
        <v>-61604481</v>
      </c>
      <c r="G12" s="2" t="s">
        <v>30</v>
      </c>
      <c r="H12" s="1">
        <v>3478567416</v>
      </c>
      <c r="I12" s="1">
        <v>3213481489</v>
      </c>
      <c r="K12" s="2" t="s">
        <v>14</v>
      </c>
      <c r="L12" s="1">
        <v>116684121</v>
      </c>
      <c r="N12" s="2" t="s">
        <v>30</v>
      </c>
      <c r="O12" s="1">
        <v>122637522</v>
      </c>
      <c r="P12" s="1">
        <v>18.325855614768553</v>
      </c>
      <c r="R12" s="2" t="s">
        <v>30</v>
      </c>
      <c r="S12" s="1">
        <v>48618467</v>
      </c>
      <c r="T12" s="1">
        <v>7.2651093394841233</v>
      </c>
      <c r="V12" s="2" t="s">
        <v>30</v>
      </c>
      <c r="W12" s="1">
        <v>923.79451213717687</v>
      </c>
    </row>
    <row r="13" spans="1:23" x14ac:dyDescent="0.3">
      <c r="C13" s="2" t="s">
        <v>15</v>
      </c>
      <c r="D13" s="1">
        <v>52817775</v>
      </c>
      <c r="E13" s="1">
        <v>-58243202</v>
      </c>
      <c r="K13" s="2" t="s">
        <v>15</v>
      </c>
      <c r="L13" s="1">
        <v>111060977</v>
      </c>
    </row>
    <row r="14" spans="1:23" x14ac:dyDescent="0.3">
      <c r="C14" s="2" t="s">
        <v>16</v>
      </c>
      <c r="D14" s="1">
        <v>48499876</v>
      </c>
      <c r="E14" s="1">
        <v>-52838830</v>
      </c>
      <c r="K14" s="2" t="s">
        <v>16</v>
      </c>
      <c r="L14" s="1">
        <v>101338706</v>
      </c>
    </row>
    <row r="15" spans="1:23" x14ac:dyDescent="0.3">
      <c r="C15" s="2" t="s">
        <v>34</v>
      </c>
      <c r="D15" s="1">
        <v>42635961</v>
      </c>
      <c r="E15" s="1">
        <v>-45523908</v>
      </c>
      <c r="K15" s="2" t="s">
        <v>34</v>
      </c>
      <c r="L15" s="1">
        <v>88159869</v>
      </c>
    </row>
    <row r="16" spans="1:23" x14ac:dyDescent="0.3">
      <c r="C16" s="2" t="s">
        <v>17</v>
      </c>
      <c r="D16" s="1">
        <v>37840217</v>
      </c>
      <c r="E16" s="1">
        <v>-39881404</v>
      </c>
      <c r="K16" s="2" t="s">
        <v>17</v>
      </c>
      <c r="L16" s="1">
        <v>77721621</v>
      </c>
    </row>
    <row r="17" spans="3:12" x14ac:dyDescent="0.3">
      <c r="C17" s="2" t="s">
        <v>18</v>
      </c>
      <c r="D17" s="1">
        <v>32947978</v>
      </c>
      <c r="E17" s="1">
        <v>-34484803</v>
      </c>
      <c r="K17" s="2" t="s">
        <v>18</v>
      </c>
      <c r="L17" s="1">
        <v>67432781</v>
      </c>
    </row>
    <row r="18" spans="3:12" x14ac:dyDescent="0.3">
      <c r="C18" s="2" t="s">
        <v>19</v>
      </c>
      <c r="D18" s="1">
        <v>28445217</v>
      </c>
      <c r="E18" s="1">
        <v>-29500956</v>
      </c>
      <c r="K18" s="2" t="s">
        <v>19</v>
      </c>
      <c r="L18" s="1">
        <v>57946173</v>
      </c>
    </row>
    <row r="19" spans="3:12" x14ac:dyDescent="0.3">
      <c r="C19" s="2" t="s">
        <v>20</v>
      </c>
      <c r="D19" s="1">
        <v>23591764</v>
      </c>
      <c r="E19" s="1">
        <v>-24129236</v>
      </c>
      <c r="K19" s="2" t="s">
        <v>20</v>
      </c>
      <c r="L19" s="1">
        <v>47721000</v>
      </c>
    </row>
    <row r="20" spans="3:12" x14ac:dyDescent="0.3">
      <c r="C20" s="2" t="s">
        <v>21</v>
      </c>
      <c r="D20" s="1">
        <v>18288098</v>
      </c>
      <c r="E20" s="1">
        <v>-18287177</v>
      </c>
      <c r="K20" s="2" t="s">
        <v>21</v>
      </c>
      <c r="L20" s="1">
        <v>36575275</v>
      </c>
    </row>
    <row r="21" spans="3:12" x14ac:dyDescent="0.3">
      <c r="C21" s="2" t="s">
        <v>22</v>
      </c>
      <c r="D21" s="1">
        <v>11861814</v>
      </c>
      <c r="E21" s="1">
        <v>-10982591</v>
      </c>
      <c r="K21" s="2" t="s">
        <v>22</v>
      </c>
      <c r="L21" s="1">
        <v>22844405</v>
      </c>
    </row>
    <row r="22" spans="3:12" x14ac:dyDescent="0.3">
      <c r="C22" s="2" t="s">
        <v>23</v>
      </c>
      <c r="D22" s="1">
        <v>7794418</v>
      </c>
      <c r="E22" s="1">
        <v>-6861862</v>
      </c>
      <c r="K22" s="2" t="s">
        <v>23</v>
      </c>
      <c r="L22" s="1">
        <v>14656280</v>
      </c>
    </row>
    <row r="23" spans="3:12" x14ac:dyDescent="0.3">
      <c r="C23" s="2" t="s">
        <v>24</v>
      </c>
      <c r="D23" s="1">
        <v>7192830</v>
      </c>
      <c r="E23" s="1">
        <v>-5880216</v>
      </c>
      <c r="K23" s="2" t="s">
        <v>24</v>
      </c>
      <c r="L23" s="1">
        <v>13073046</v>
      </c>
    </row>
    <row r="24" spans="3:12" x14ac:dyDescent="0.3">
      <c r="C24" s="2" t="s">
        <v>30</v>
      </c>
      <c r="D24" s="1">
        <v>656288184</v>
      </c>
      <c r="E24" s="1">
        <v>-710129572</v>
      </c>
      <c r="K24" s="2" t="s">
        <v>30</v>
      </c>
      <c r="L24" s="1">
        <v>1366417756</v>
      </c>
    </row>
  </sheetData>
  <mergeCells count="1">
    <mergeCell ref="C1:E1"/>
  </mergeCells>
  <hyperlinks>
    <hyperlink ref="A1" location="Dashboard!A1" display="BACK" xr:uid="{C0817CD2-3DD0-41A0-8E88-25105066E06C}"/>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71273-91D2-4118-BC66-244F7443FA5C}">
  <sheetPr codeName="Sheet4"/>
  <dimension ref="A1:R429"/>
  <sheetViews>
    <sheetView zoomScale="85" zoomScaleNormal="85" workbookViewId="0">
      <selection activeCell="L28" sqref="L28"/>
    </sheetView>
  </sheetViews>
  <sheetFormatPr defaultRowHeight="14.4" x14ac:dyDescent="0.3"/>
  <cols>
    <col min="2" max="2" width="11.44140625" bestFit="1" customWidth="1"/>
    <col min="3" max="3" width="19.109375" bestFit="1" customWidth="1"/>
    <col min="4" max="4" width="10" bestFit="1" customWidth="1"/>
    <col min="5" max="5" width="15.88671875" bestFit="1" customWidth="1"/>
    <col min="6" max="6" width="21.5546875" bestFit="1" customWidth="1"/>
    <col min="7" max="7" width="24" bestFit="1" customWidth="1"/>
    <col min="8" max="8" width="11.21875" customWidth="1"/>
    <col min="9" max="9" width="12.21875" bestFit="1" customWidth="1"/>
    <col min="10" max="10" width="21.33203125" bestFit="1" customWidth="1"/>
  </cols>
  <sheetData>
    <row r="1" spans="1:18" ht="42.6" customHeight="1" x14ac:dyDescent="0.3">
      <c r="A1" s="11" t="s">
        <v>41</v>
      </c>
      <c r="E1" s="14" t="s">
        <v>42</v>
      </c>
      <c r="F1" s="15"/>
      <c r="G1" s="15"/>
    </row>
    <row r="2" spans="1:18" x14ac:dyDescent="0.3">
      <c r="M2" s="13" t="s">
        <v>45</v>
      </c>
      <c r="N2" s="13"/>
      <c r="O2" s="13"/>
      <c r="P2" s="13"/>
      <c r="Q2" s="13"/>
      <c r="R2" s="13"/>
    </row>
    <row r="3" spans="1:18" x14ac:dyDescent="0.3">
      <c r="M3" s="13"/>
      <c r="N3" s="13"/>
      <c r="O3" s="13"/>
      <c r="P3" s="13"/>
      <c r="Q3" s="13"/>
      <c r="R3" s="13"/>
    </row>
    <row r="4" spans="1:18" x14ac:dyDescent="0.3">
      <c r="B4" t="s">
        <v>35</v>
      </c>
      <c r="C4" t="s">
        <v>2</v>
      </c>
      <c r="D4" t="s">
        <v>1</v>
      </c>
      <c r="E4" t="s">
        <v>0</v>
      </c>
      <c r="F4" t="s">
        <v>3</v>
      </c>
      <c r="G4" t="s">
        <v>4</v>
      </c>
      <c r="H4" t="s">
        <v>26</v>
      </c>
      <c r="I4" t="s">
        <v>27</v>
      </c>
      <c r="J4" t="s">
        <v>5</v>
      </c>
    </row>
    <row r="5" spans="1:18" x14ac:dyDescent="0.3">
      <c r="B5" s="4">
        <v>1</v>
      </c>
      <c r="C5" s="5" t="s">
        <v>6</v>
      </c>
      <c r="D5" s="5">
        <v>2015</v>
      </c>
      <c r="E5" s="8" t="s">
        <v>9</v>
      </c>
      <c r="F5" s="5">
        <v>62365572</v>
      </c>
      <c r="G5" s="5">
        <v>56617737</v>
      </c>
      <c r="H5" s="5">
        <v>24813844</v>
      </c>
      <c r="I5" s="5">
        <v>4166856</v>
      </c>
      <c r="J5" s="5">
        <f t="shared" ref="J5:J68" si="0">SUM(F5:G5)</f>
        <v>118983309</v>
      </c>
    </row>
    <row r="6" spans="1:18" x14ac:dyDescent="0.3">
      <c r="B6" s="4">
        <v>2</v>
      </c>
      <c r="C6" s="5" t="s">
        <v>6</v>
      </c>
      <c r="D6" s="5">
        <v>2015</v>
      </c>
      <c r="E6" s="8" t="s">
        <v>10</v>
      </c>
      <c r="F6" s="5">
        <v>66646490</v>
      </c>
      <c r="G6" s="5">
        <v>60178746</v>
      </c>
      <c r="H6" s="5">
        <v>0</v>
      </c>
      <c r="I6" s="5">
        <v>2864872</v>
      </c>
      <c r="J6" s="5">
        <f t="shared" si="0"/>
        <v>126825236</v>
      </c>
    </row>
    <row r="7" spans="1:18" x14ac:dyDescent="0.3">
      <c r="B7" s="4">
        <v>3</v>
      </c>
      <c r="C7" s="5" t="s">
        <v>6</v>
      </c>
      <c r="D7" s="5">
        <v>2015</v>
      </c>
      <c r="E7" s="8" t="s">
        <v>11</v>
      </c>
      <c r="F7" s="5">
        <v>67053640</v>
      </c>
      <c r="G7" s="5">
        <v>59760885</v>
      </c>
      <c r="H7" s="5">
        <v>0</v>
      </c>
      <c r="I7" s="5">
        <v>1043212</v>
      </c>
      <c r="J7" s="5">
        <f t="shared" si="0"/>
        <v>126814525</v>
      </c>
    </row>
    <row r="8" spans="1:18" x14ac:dyDescent="0.3">
      <c r="B8" s="4">
        <v>4</v>
      </c>
      <c r="C8" s="5" t="s">
        <v>6</v>
      </c>
      <c r="D8" s="5">
        <v>2015</v>
      </c>
      <c r="E8" s="8" t="s">
        <v>12</v>
      </c>
      <c r="F8" s="5">
        <v>65438170</v>
      </c>
      <c r="G8" s="5">
        <v>58205670</v>
      </c>
      <c r="H8" s="5">
        <v>0</v>
      </c>
      <c r="I8" s="5">
        <v>448821</v>
      </c>
      <c r="J8" s="5">
        <f t="shared" si="0"/>
        <v>123643840</v>
      </c>
    </row>
    <row r="9" spans="1:18" x14ac:dyDescent="0.3">
      <c r="B9" s="4">
        <v>5</v>
      </c>
      <c r="C9" s="5" t="s">
        <v>6</v>
      </c>
      <c r="D9" s="5">
        <v>2015</v>
      </c>
      <c r="E9" s="8" t="s">
        <v>13</v>
      </c>
      <c r="F9" s="5">
        <v>62756893</v>
      </c>
      <c r="G9" s="5">
        <v>55949146</v>
      </c>
      <c r="H9" s="5">
        <v>0</v>
      </c>
      <c r="I9" s="5">
        <v>299843</v>
      </c>
      <c r="J9" s="5">
        <f t="shared" si="0"/>
        <v>118706039</v>
      </c>
    </row>
    <row r="10" spans="1:18" x14ac:dyDescent="0.3">
      <c r="B10" s="4">
        <v>6</v>
      </c>
      <c r="C10" s="5" t="s">
        <v>6</v>
      </c>
      <c r="D10" s="5">
        <v>2015</v>
      </c>
      <c r="E10" s="8" t="s">
        <v>14</v>
      </c>
      <c r="F10" s="5">
        <v>59663746</v>
      </c>
      <c r="G10" s="5">
        <v>53820136</v>
      </c>
      <c r="H10" s="5">
        <v>0</v>
      </c>
      <c r="I10" s="5">
        <v>233845</v>
      </c>
      <c r="J10" s="5">
        <f t="shared" si="0"/>
        <v>113483882</v>
      </c>
    </row>
    <row r="11" spans="1:18" x14ac:dyDescent="0.3">
      <c r="B11" s="4">
        <v>7</v>
      </c>
      <c r="C11" s="5" t="s">
        <v>6</v>
      </c>
      <c r="D11" s="5">
        <v>2015</v>
      </c>
      <c r="E11" s="8" t="s">
        <v>15</v>
      </c>
      <c r="F11" s="5">
        <v>54918049</v>
      </c>
      <c r="G11" s="5">
        <v>49976467</v>
      </c>
      <c r="H11" s="5">
        <v>0</v>
      </c>
      <c r="I11" s="5">
        <v>198992</v>
      </c>
      <c r="J11" s="5">
        <f t="shared" si="0"/>
        <v>104894516</v>
      </c>
    </row>
    <row r="12" spans="1:18" x14ac:dyDescent="0.3">
      <c r="B12" s="4">
        <v>8</v>
      </c>
      <c r="C12" s="5" t="s">
        <v>6</v>
      </c>
      <c r="D12" s="5">
        <v>2015</v>
      </c>
      <c r="E12" s="8" t="s">
        <v>16</v>
      </c>
      <c r="F12" s="5">
        <v>47649721</v>
      </c>
      <c r="G12" s="5">
        <v>44166159</v>
      </c>
      <c r="H12" s="5">
        <v>0</v>
      </c>
      <c r="I12" s="5">
        <v>98999</v>
      </c>
      <c r="J12" s="5">
        <f t="shared" si="0"/>
        <v>91815880</v>
      </c>
    </row>
    <row r="13" spans="1:18" x14ac:dyDescent="0.3">
      <c r="B13" s="4">
        <v>9</v>
      </c>
      <c r="C13" s="5" t="s">
        <v>6</v>
      </c>
      <c r="D13" s="5">
        <v>2015</v>
      </c>
      <c r="E13" s="8" t="s">
        <v>34</v>
      </c>
      <c r="F13" s="5">
        <v>41950233</v>
      </c>
      <c r="G13" s="5">
        <v>39371659</v>
      </c>
      <c r="H13" s="5">
        <v>0</v>
      </c>
      <c r="I13" s="5">
        <v>84778</v>
      </c>
      <c r="J13" s="5">
        <f t="shared" si="0"/>
        <v>81321892</v>
      </c>
    </row>
    <row r="14" spans="1:18" x14ac:dyDescent="0.3">
      <c r="B14" s="4">
        <v>10</v>
      </c>
      <c r="C14" s="5" t="s">
        <v>6</v>
      </c>
      <c r="D14" s="5">
        <v>2015</v>
      </c>
      <c r="E14" s="8" t="s">
        <v>17</v>
      </c>
      <c r="F14" s="5">
        <v>36685165</v>
      </c>
      <c r="G14" s="5">
        <v>34660631</v>
      </c>
      <c r="H14" s="5">
        <v>0</v>
      </c>
      <c r="I14" s="5">
        <v>47689</v>
      </c>
      <c r="J14" s="5">
        <f t="shared" si="0"/>
        <v>71345796</v>
      </c>
    </row>
    <row r="15" spans="1:18" x14ac:dyDescent="0.3">
      <c r="B15" s="4">
        <v>11</v>
      </c>
      <c r="C15" s="5" t="s">
        <v>6</v>
      </c>
      <c r="D15" s="5">
        <v>2015</v>
      </c>
      <c r="E15" s="8" t="s">
        <v>18</v>
      </c>
      <c r="F15" s="5">
        <v>32088187</v>
      </c>
      <c r="G15" s="5">
        <v>30468818</v>
      </c>
      <c r="H15" s="5">
        <v>0</v>
      </c>
      <c r="I15" s="5">
        <v>44789</v>
      </c>
      <c r="J15" s="5">
        <f t="shared" si="0"/>
        <v>62557005</v>
      </c>
    </row>
    <row r="16" spans="1:18" x14ac:dyDescent="0.3">
      <c r="B16" s="4">
        <v>12</v>
      </c>
      <c r="C16" s="5" t="s">
        <v>6</v>
      </c>
      <c r="D16" s="5">
        <v>2015</v>
      </c>
      <c r="E16" s="8" t="s">
        <v>19</v>
      </c>
      <c r="F16" s="5">
        <v>27051249</v>
      </c>
      <c r="G16" s="5">
        <v>25936429</v>
      </c>
      <c r="H16" s="5">
        <v>0</v>
      </c>
      <c r="I16" s="5">
        <v>34765</v>
      </c>
      <c r="J16" s="5">
        <f t="shared" si="0"/>
        <v>52987678</v>
      </c>
    </row>
    <row r="17" spans="2:10" x14ac:dyDescent="0.3">
      <c r="B17" s="4">
        <v>13</v>
      </c>
      <c r="C17" s="5" t="s">
        <v>6</v>
      </c>
      <c r="D17" s="5">
        <v>2015</v>
      </c>
      <c r="E17" s="8" t="s">
        <v>20</v>
      </c>
      <c r="F17" s="5">
        <v>21877501</v>
      </c>
      <c r="G17" s="5">
        <v>21335021</v>
      </c>
      <c r="H17" s="5">
        <v>0</v>
      </c>
      <c r="I17" s="5">
        <v>24312</v>
      </c>
      <c r="J17" s="5">
        <f t="shared" si="0"/>
        <v>43212522</v>
      </c>
    </row>
    <row r="18" spans="2:10" x14ac:dyDescent="0.3">
      <c r="B18" s="4">
        <v>14</v>
      </c>
      <c r="C18" s="5" t="s">
        <v>6</v>
      </c>
      <c r="D18" s="5">
        <v>2015</v>
      </c>
      <c r="E18" s="8" t="s">
        <v>21</v>
      </c>
      <c r="F18" s="5">
        <v>14308182</v>
      </c>
      <c r="G18" s="5">
        <v>14868579</v>
      </c>
      <c r="H18" s="5">
        <v>0</v>
      </c>
      <c r="I18" s="5">
        <v>19882</v>
      </c>
      <c r="J18" s="5">
        <f t="shared" si="0"/>
        <v>29176761</v>
      </c>
    </row>
    <row r="19" spans="2:10" x14ac:dyDescent="0.3">
      <c r="B19" s="4">
        <v>15</v>
      </c>
      <c r="C19" s="5" t="s">
        <v>6</v>
      </c>
      <c r="D19" s="5">
        <v>2015</v>
      </c>
      <c r="E19" s="8" t="s">
        <v>22</v>
      </c>
      <c r="F19" s="5">
        <v>9411446</v>
      </c>
      <c r="G19" s="5">
        <v>10545786</v>
      </c>
      <c r="H19" s="5">
        <v>0</v>
      </c>
      <c r="I19" s="5">
        <v>4002</v>
      </c>
      <c r="J19" s="5">
        <f t="shared" si="0"/>
        <v>19957232</v>
      </c>
    </row>
    <row r="20" spans="2:10" x14ac:dyDescent="0.3">
      <c r="B20" s="4">
        <v>16</v>
      </c>
      <c r="C20" s="5" t="s">
        <v>6</v>
      </c>
      <c r="D20" s="5">
        <v>2015</v>
      </c>
      <c r="E20" s="8" t="s">
        <v>23</v>
      </c>
      <c r="F20" s="5">
        <v>6157964</v>
      </c>
      <c r="G20" s="5">
        <v>7144301</v>
      </c>
      <c r="H20" s="5">
        <v>0</v>
      </c>
      <c r="I20" s="5">
        <v>2139</v>
      </c>
      <c r="J20" s="5">
        <f t="shared" si="0"/>
        <v>13302265</v>
      </c>
    </row>
    <row r="21" spans="2:10" x14ac:dyDescent="0.3">
      <c r="B21" s="4">
        <v>17</v>
      </c>
      <c r="C21" s="5" t="s">
        <v>6</v>
      </c>
      <c r="D21" s="5">
        <v>2015</v>
      </c>
      <c r="E21" s="8" t="s">
        <v>24</v>
      </c>
      <c r="F21" s="5">
        <v>4901130</v>
      </c>
      <c r="G21" s="5">
        <v>5922890</v>
      </c>
      <c r="H21" s="5">
        <v>0</v>
      </c>
      <c r="I21" s="5">
        <v>1760</v>
      </c>
      <c r="J21" s="5">
        <f t="shared" si="0"/>
        <v>10824020</v>
      </c>
    </row>
    <row r="22" spans="2:10" x14ac:dyDescent="0.3">
      <c r="B22" s="4">
        <v>18</v>
      </c>
      <c r="C22" s="5" t="s">
        <v>6</v>
      </c>
      <c r="D22" s="5">
        <v>2016</v>
      </c>
      <c r="E22" s="8" t="s">
        <v>9</v>
      </c>
      <c r="F22" s="5">
        <v>61298379</v>
      </c>
      <c r="G22" s="5">
        <v>55600910</v>
      </c>
      <c r="H22" s="5">
        <v>24656980</v>
      </c>
      <c r="I22" s="5">
        <v>4146896</v>
      </c>
      <c r="J22" s="5">
        <f t="shared" si="0"/>
        <v>116899289</v>
      </c>
    </row>
    <row r="23" spans="2:10" x14ac:dyDescent="0.3">
      <c r="B23" s="4">
        <v>19</v>
      </c>
      <c r="C23" s="5" t="s">
        <v>6</v>
      </c>
      <c r="D23" s="5">
        <v>2016</v>
      </c>
      <c r="E23" s="8" t="s">
        <v>10</v>
      </c>
      <c r="F23" s="5">
        <v>66103259</v>
      </c>
      <c r="G23" s="5">
        <v>59819505</v>
      </c>
      <c r="H23" s="5">
        <v>0</v>
      </c>
      <c r="I23" s="5">
        <v>2952872</v>
      </c>
      <c r="J23" s="5">
        <f t="shared" si="0"/>
        <v>125922764</v>
      </c>
    </row>
    <row r="24" spans="2:10" x14ac:dyDescent="0.3">
      <c r="B24" s="4">
        <v>20</v>
      </c>
      <c r="C24" s="5" t="s">
        <v>6</v>
      </c>
      <c r="D24" s="5">
        <v>2016</v>
      </c>
      <c r="E24" s="8" t="s">
        <v>11</v>
      </c>
      <c r="F24" s="5">
        <v>67166339</v>
      </c>
      <c r="G24" s="5">
        <v>59979187</v>
      </c>
      <c r="H24" s="5">
        <v>0</v>
      </c>
      <c r="I24" s="5">
        <v>1142214</v>
      </c>
      <c r="J24" s="5">
        <f t="shared" si="0"/>
        <v>127145526</v>
      </c>
    </row>
    <row r="25" spans="2:10" x14ac:dyDescent="0.3">
      <c r="B25" s="4">
        <v>21</v>
      </c>
      <c r="C25" s="5" t="s">
        <v>6</v>
      </c>
      <c r="D25" s="5">
        <v>2016</v>
      </c>
      <c r="E25" s="8" t="s">
        <v>12</v>
      </c>
      <c r="F25" s="5">
        <v>65817430</v>
      </c>
      <c r="G25" s="5">
        <v>58530975</v>
      </c>
      <c r="H25" s="5">
        <v>0</v>
      </c>
      <c r="I25" s="5">
        <v>348827</v>
      </c>
      <c r="J25" s="5">
        <f t="shared" si="0"/>
        <v>124348405</v>
      </c>
    </row>
    <row r="26" spans="2:10" x14ac:dyDescent="0.3">
      <c r="B26" s="4">
        <v>22</v>
      </c>
      <c r="C26" s="5" t="s">
        <v>6</v>
      </c>
      <c r="D26" s="5">
        <v>2016</v>
      </c>
      <c r="E26" s="8" t="s">
        <v>13</v>
      </c>
      <c r="F26" s="5">
        <v>63233369</v>
      </c>
      <c r="G26" s="5">
        <v>56312415</v>
      </c>
      <c r="H26" s="5">
        <v>0</v>
      </c>
      <c r="I26" s="5">
        <v>299893</v>
      </c>
      <c r="J26" s="5">
        <f t="shared" si="0"/>
        <v>119545784</v>
      </c>
    </row>
    <row r="27" spans="2:10" x14ac:dyDescent="0.3">
      <c r="B27" s="4">
        <v>23</v>
      </c>
      <c r="C27" s="5" t="s">
        <v>6</v>
      </c>
      <c r="D27" s="5">
        <v>2016</v>
      </c>
      <c r="E27" s="8" t="s">
        <v>14</v>
      </c>
      <c r="F27" s="5">
        <v>60270283</v>
      </c>
      <c r="G27" s="5">
        <v>54280902</v>
      </c>
      <c r="H27" s="5">
        <v>0</v>
      </c>
      <c r="I27" s="5">
        <v>234885</v>
      </c>
      <c r="J27" s="5">
        <f t="shared" si="0"/>
        <v>114551185</v>
      </c>
    </row>
    <row r="28" spans="2:10" x14ac:dyDescent="0.3">
      <c r="B28" s="4">
        <v>24</v>
      </c>
      <c r="C28" s="5" t="s">
        <v>6</v>
      </c>
      <c r="D28" s="5">
        <v>2016</v>
      </c>
      <c r="E28" s="8" t="s">
        <v>15</v>
      </c>
      <c r="F28" s="5">
        <v>55969841</v>
      </c>
      <c r="G28" s="5">
        <v>50881382</v>
      </c>
      <c r="H28" s="5">
        <v>0</v>
      </c>
      <c r="I28" s="5">
        <v>108902</v>
      </c>
      <c r="J28" s="5">
        <f t="shared" si="0"/>
        <v>106851223</v>
      </c>
    </row>
    <row r="29" spans="2:10" x14ac:dyDescent="0.3">
      <c r="B29" s="4">
        <v>25</v>
      </c>
      <c r="C29" s="5" t="s">
        <v>6</v>
      </c>
      <c r="D29" s="5">
        <v>2016</v>
      </c>
      <c r="E29" s="8" t="s">
        <v>16</v>
      </c>
      <c r="F29" s="9">
        <v>48889458</v>
      </c>
      <c r="G29" s="9">
        <v>45224268</v>
      </c>
      <c r="H29" s="5">
        <v>0</v>
      </c>
      <c r="I29" s="5">
        <v>92909</v>
      </c>
      <c r="J29" s="5">
        <f t="shared" si="0"/>
        <v>94113726</v>
      </c>
    </row>
    <row r="30" spans="2:10" x14ac:dyDescent="0.3">
      <c r="B30" s="4">
        <v>26</v>
      </c>
      <c r="C30" s="5" t="s">
        <v>6</v>
      </c>
      <c r="D30" s="5">
        <v>2016</v>
      </c>
      <c r="E30" s="8" t="s">
        <v>34</v>
      </c>
      <c r="F30" s="9">
        <v>42832136</v>
      </c>
      <c r="G30" s="9">
        <v>40209627</v>
      </c>
      <c r="H30" s="5">
        <v>0</v>
      </c>
      <c r="I30" s="5">
        <v>72700</v>
      </c>
      <c r="J30" s="5">
        <f t="shared" si="0"/>
        <v>83041763</v>
      </c>
    </row>
    <row r="31" spans="2:10" x14ac:dyDescent="0.3">
      <c r="B31" s="4">
        <v>27</v>
      </c>
      <c r="C31" s="5" t="s">
        <v>6</v>
      </c>
      <c r="D31" s="5">
        <v>2016</v>
      </c>
      <c r="E31" s="8" t="s">
        <v>17</v>
      </c>
      <c r="F31" s="9">
        <v>37425001</v>
      </c>
      <c r="G31" s="9">
        <v>35407937</v>
      </c>
      <c r="H31" s="5">
        <v>0</v>
      </c>
      <c r="I31" s="5">
        <v>55689</v>
      </c>
      <c r="J31" s="5">
        <f t="shared" si="0"/>
        <v>72832938</v>
      </c>
    </row>
    <row r="32" spans="2:10" x14ac:dyDescent="0.3">
      <c r="B32" s="4">
        <v>28</v>
      </c>
      <c r="C32" s="5" t="s">
        <v>6</v>
      </c>
      <c r="D32" s="5">
        <v>2016</v>
      </c>
      <c r="E32" s="8" t="s">
        <v>18</v>
      </c>
      <c r="F32" s="9">
        <v>32680196</v>
      </c>
      <c r="G32" s="9">
        <v>31088691</v>
      </c>
      <c r="H32" s="5">
        <v>0</v>
      </c>
      <c r="I32" s="5">
        <v>45789</v>
      </c>
      <c r="J32" s="5">
        <f t="shared" si="0"/>
        <v>63768887</v>
      </c>
    </row>
    <row r="33" spans="2:10" x14ac:dyDescent="0.3">
      <c r="B33" s="4">
        <v>29</v>
      </c>
      <c r="C33" s="5" t="s">
        <v>6</v>
      </c>
      <c r="D33" s="5">
        <v>2016</v>
      </c>
      <c r="E33" s="8" t="s">
        <v>19</v>
      </c>
      <c r="F33" s="9">
        <v>27615940</v>
      </c>
      <c r="G33" s="9">
        <v>26525078</v>
      </c>
      <c r="H33" s="5">
        <v>0</v>
      </c>
      <c r="I33" s="5">
        <v>34765</v>
      </c>
      <c r="J33" s="5">
        <f t="shared" si="0"/>
        <v>54141018</v>
      </c>
    </row>
    <row r="34" spans="2:10" x14ac:dyDescent="0.3">
      <c r="B34" s="4">
        <v>30</v>
      </c>
      <c r="C34" s="5" t="s">
        <v>6</v>
      </c>
      <c r="D34" s="5">
        <v>2016</v>
      </c>
      <c r="E34" s="8" t="s">
        <v>20</v>
      </c>
      <c r="F34" s="9">
        <v>22609575</v>
      </c>
      <c r="G34" s="9">
        <v>22004365</v>
      </c>
      <c r="H34" s="5">
        <v>0</v>
      </c>
      <c r="I34" s="5">
        <v>24312</v>
      </c>
      <c r="J34" s="5">
        <f t="shared" si="0"/>
        <v>44613940</v>
      </c>
    </row>
    <row r="35" spans="2:10" x14ac:dyDescent="0.3">
      <c r="B35" s="4">
        <v>31</v>
      </c>
      <c r="C35" s="5" t="s">
        <v>6</v>
      </c>
      <c r="D35" s="5">
        <v>2016</v>
      </c>
      <c r="E35" s="8" t="s">
        <v>21</v>
      </c>
      <c r="F35" s="9">
        <v>15148652</v>
      </c>
      <c r="G35" s="9">
        <v>15598198</v>
      </c>
      <c r="H35" s="5">
        <v>0</v>
      </c>
      <c r="I35" s="5">
        <v>19882</v>
      </c>
      <c r="J35" s="5">
        <f t="shared" si="0"/>
        <v>30746850</v>
      </c>
    </row>
    <row r="36" spans="2:10" x14ac:dyDescent="0.3">
      <c r="B36" s="4">
        <v>32</v>
      </c>
      <c r="C36" s="5" t="s">
        <v>6</v>
      </c>
      <c r="D36" s="5">
        <v>2016</v>
      </c>
      <c r="E36" s="8" t="s">
        <v>22</v>
      </c>
      <c r="F36" s="9">
        <v>9966931</v>
      </c>
      <c r="G36" s="9">
        <v>10802412</v>
      </c>
      <c r="H36" s="5">
        <v>0</v>
      </c>
      <c r="I36" s="5">
        <v>4002</v>
      </c>
      <c r="J36" s="5">
        <f t="shared" si="0"/>
        <v>20769343</v>
      </c>
    </row>
    <row r="37" spans="2:10" x14ac:dyDescent="0.3">
      <c r="B37" s="4">
        <v>33</v>
      </c>
      <c r="C37" s="5" t="s">
        <v>6</v>
      </c>
      <c r="D37" s="5">
        <v>2016</v>
      </c>
      <c r="E37" s="8" t="s">
        <v>23</v>
      </c>
      <c r="F37" s="9">
        <v>6339364</v>
      </c>
      <c r="G37" s="9">
        <v>7313452</v>
      </c>
      <c r="H37" s="5">
        <v>0</v>
      </c>
      <c r="I37" s="5">
        <v>2139</v>
      </c>
      <c r="J37" s="5">
        <f t="shared" si="0"/>
        <v>13652816</v>
      </c>
    </row>
    <row r="38" spans="2:10" x14ac:dyDescent="0.3">
      <c r="B38" s="4">
        <v>34</v>
      </c>
      <c r="C38" s="5" t="s">
        <v>6</v>
      </c>
      <c r="D38" s="5">
        <v>2016</v>
      </c>
      <c r="E38" s="8" t="s">
        <v>24</v>
      </c>
      <c r="F38" s="9">
        <v>5234548</v>
      </c>
      <c r="G38" s="9">
        <v>6329580</v>
      </c>
      <c r="H38" s="5">
        <v>0</v>
      </c>
      <c r="I38" s="5">
        <v>1760</v>
      </c>
      <c r="J38" s="5">
        <f t="shared" si="0"/>
        <v>11564128</v>
      </c>
    </row>
    <row r="39" spans="2:10" x14ac:dyDescent="0.3">
      <c r="B39" s="4">
        <v>35</v>
      </c>
      <c r="C39" s="5" t="s">
        <v>6</v>
      </c>
      <c r="D39" s="5">
        <v>2017</v>
      </c>
      <c r="E39" s="8" t="s">
        <v>9</v>
      </c>
      <c r="F39" s="9">
        <v>60912530</v>
      </c>
      <c r="G39" s="9">
        <v>55258410</v>
      </c>
      <c r="H39" s="5">
        <v>24497462</v>
      </c>
      <c r="I39" s="5">
        <f>4166856+77689</f>
        <v>4244545</v>
      </c>
      <c r="J39" s="5">
        <f t="shared" si="0"/>
        <v>116170940</v>
      </c>
    </row>
    <row r="40" spans="2:10" x14ac:dyDescent="0.3">
      <c r="B40" s="4">
        <v>36</v>
      </c>
      <c r="C40" s="5" t="s">
        <v>6</v>
      </c>
      <c r="D40" s="5">
        <v>2017</v>
      </c>
      <c r="E40" s="8" t="s">
        <v>10</v>
      </c>
      <c r="F40" s="9">
        <v>65242224</v>
      </c>
      <c r="G40" s="9">
        <v>59122099</v>
      </c>
      <c r="H40" s="5">
        <v>0</v>
      </c>
      <c r="I40" s="5">
        <v>2864872</v>
      </c>
      <c r="J40" s="5">
        <f t="shared" si="0"/>
        <v>124364323</v>
      </c>
    </row>
    <row r="41" spans="2:10" x14ac:dyDescent="0.3">
      <c r="B41" s="4">
        <v>37</v>
      </c>
      <c r="C41" s="5" t="s">
        <v>6</v>
      </c>
      <c r="D41" s="5">
        <v>2017</v>
      </c>
      <c r="E41" s="8" t="s">
        <v>11</v>
      </c>
      <c r="F41" s="9">
        <v>67171364</v>
      </c>
      <c r="G41" s="9">
        <v>60139277</v>
      </c>
      <c r="H41" s="5">
        <v>0</v>
      </c>
      <c r="I41" s="5">
        <v>1043212</v>
      </c>
      <c r="J41" s="5">
        <f t="shared" si="0"/>
        <v>127310641</v>
      </c>
    </row>
    <row r="42" spans="2:10" x14ac:dyDescent="0.3">
      <c r="B42" s="4">
        <v>38</v>
      </c>
      <c r="C42" s="5" t="s">
        <v>6</v>
      </c>
      <c r="D42" s="5">
        <v>2017</v>
      </c>
      <c r="E42" s="8" t="s">
        <v>12</v>
      </c>
      <c r="F42" s="9">
        <v>66110633</v>
      </c>
      <c r="G42" s="9">
        <v>58772988</v>
      </c>
      <c r="H42" s="5">
        <v>0</v>
      </c>
      <c r="I42" s="5">
        <v>448821</v>
      </c>
      <c r="J42" s="5">
        <f t="shared" si="0"/>
        <v>124883621</v>
      </c>
    </row>
    <row r="43" spans="2:10" x14ac:dyDescent="0.3">
      <c r="B43" s="4">
        <v>39</v>
      </c>
      <c r="C43" s="5" t="s">
        <v>6</v>
      </c>
      <c r="D43" s="5">
        <v>2017</v>
      </c>
      <c r="E43" s="8" t="s">
        <v>13</v>
      </c>
      <c r="F43" s="9">
        <v>63668733</v>
      </c>
      <c r="G43" s="9">
        <v>56656333</v>
      </c>
      <c r="H43" s="5">
        <v>0</v>
      </c>
      <c r="I43" s="5">
        <v>299843</v>
      </c>
      <c r="J43" s="5">
        <f t="shared" si="0"/>
        <v>120325066</v>
      </c>
    </row>
    <row r="44" spans="2:10" x14ac:dyDescent="0.3">
      <c r="B44" s="4">
        <v>40</v>
      </c>
      <c r="C44" s="5" t="s">
        <v>6</v>
      </c>
      <c r="D44" s="5">
        <v>2017</v>
      </c>
      <c r="E44" s="8" t="s">
        <v>14</v>
      </c>
      <c r="F44" s="9">
        <v>60765547</v>
      </c>
      <c r="G44" s="9">
        <v>54603917</v>
      </c>
      <c r="H44" s="5">
        <v>0</v>
      </c>
      <c r="I44" s="5">
        <v>233845</v>
      </c>
      <c r="J44" s="5">
        <f t="shared" si="0"/>
        <v>115369464</v>
      </c>
    </row>
    <row r="45" spans="2:10" x14ac:dyDescent="0.3">
      <c r="B45" s="4">
        <v>41</v>
      </c>
      <c r="C45" s="5" t="s">
        <v>6</v>
      </c>
      <c r="D45" s="5">
        <v>2017</v>
      </c>
      <c r="E45" s="8" t="s">
        <v>15</v>
      </c>
      <c r="F45" s="9">
        <v>56842250</v>
      </c>
      <c r="G45" s="9">
        <v>51638381</v>
      </c>
      <c r="H45" s="5">
        <v>0</v>
      </c>
      <c r="I45" s="5">
        <v>198992</v>
      </c>
      <c r="J45" s="5">
        <f t="shared" si="0"/>
        <v>108480631</v>
      </c>
    </row>
    <row r="46" spans="2:10" x14ac:dyDescent="0.3">
      <c r="B46" s="4">
        <v>42</v>
      </c>
      <c r="C46" s="5" t="s">
        <v>6</v>
      </c>
      <c r="D46" s="5">
        <v>2017</v>
      </c>
      <c r="E46" s="8" t="s">
        <v>16</v>
      </c>
      <c r="F46" s="9">
        <v>50211341</v>
      </c>
      <c r="G46" s="9">
        <v>46326639</v>
      </c>
      <c r="H46" s="5">
        <v>0</v>
      </c>
      <c r="I46" s="5">
        <v>98999</v>
      </c>
      <c r="J46" s="5">
        <f t="shared" si="0"/>
        <v>96537980</v>
      </c>
    </row>
    <row r="47" spans="2:10" x14ac:dyDescent="0.3">
      <c r="B47" s="4">
        <v>43</v>
      </c>
      <c r="C47" s="5" t="s">
        <v>6</v>
      </c>
      <c r="D47" s="5">
        <v>2017</v>
      </c>
      <c r="E47" s="8" t="s">
        <v>34</v>
      </c>
      <c r="F47" s="9">
        <v>43682826</v>
      </c>
      <c r="G47" s="9">
        <v>41000255</v>
      </c>
      <c r="H47" s="5">
        <v>0</v>
      </c>
      <c r="I47" s="5">
        <v>84778</v>
      </c>
      <c r="J47" s="5">
        <f t="shared" si="0"/>
        <v>84683081</v>
      </c>
    </row>
    <row r="48" spans="2:10" x14ac:dyDescent="0.3">
      <c r="B48" s="4">
        <v>44</v>
      </c>
      <c r="C48" s="5" t="s">
        <v>6</v>
      </c>
      <c r="D48" s="5">
        <v>2017</v>
      </c>
      <c r="E48" s="8" t="s">
        <v>17</v>
      </c>
      <c r="F48" s="9">
        <v>38207872</v>
      </c>
      <c r="G48" s="9">
        <v>36190455</v>
      </c>
      <c r="H48" s="5">
        <v>0</v>
      </c>
      <c r="I48" s="5">
        <v>47689</v>
      </c>
      <c r="J48" s="5">
        <f t="shared" si="0"/>
        <v>74398327</v>
      </c>
    </row>
    <row r="49" spans="2:10" x14ac:dyDescent="0.3">
      <c r="B49" s="4">
        <v>45</v>
      </c>
      <c r="C49" s="5" t="s">
        <v>6</v>
      </c>
      <c r="D49" s="5">
        <v>2017</v>
      </c>
      <c r="E49" s="8" t="s">
        <v>18</v>
      </c>
      <c r="F49" s="9">
        <v>33254336</v>
      </c>
      <c r="G49" s="9">
        <v>31687040</v>
      </c>
      <c r="H49" s="5">
        <v>0</v>
      </c>
      <c r="I49" s="5">
        <v>44789</v>
      </c>
      <c r="J49" s="5">
        <f t="shared" si="0"/>
        <v>64941376</v>
      </c>
    </row>
    <row r="50" spans="2:10" x14ac:dyDescent="0.3">
      <c r="B50" s="4">
        <v>46</v>
      </c>
      <c r="C50" s="5" t="s">
        <v>6</v>
      </c>
      <c r="D50" s="5">
        <v>2017</v>
      </c>
      <c r="E50" s="8" t="s">
        <v>19</v>
      </c>
      <c r="F50" s="9">
        <v>28219432</v>
      </c>
      <c r="G50" s="9">
        <v>27145819</v>
      </c>
      <c r="H50" s="5">
        <v>0</v>
      </c>
      <c r="I50" s="5">
        <v>34765</v>
      </c>
      <c r="J50" s="5">
        <f t="shared" si="0"/>
        <v>55365251</v>
      </c>
    </row>
    <row r="51" spans="2:10" x14ac:dyDescent="0.3">
      <c r="B51" s="4">
        <v>47</v>
      </c>
      <c r="C51" s="5" t="s">
        <v>6</v>
      </c>
      <c r="D51" s="5">
        <v>2017</v>
      </c>
      <c r="E51" s="8" t="s">
        <v>20</v>
      </c>
      <c r="F51" s="9">
        <v>23174292</v>
      </c>
      <c r="G51" s="9">
        <v>22560150</v>
      </c>
      <c r="H51" s="5">
        <v>0</v>
      </c>
      <c r="I51" s="5">
        <v>24312</v>
      </c>
      <c r="J51" s="5">
        <f t="shared" si="0"/>
        <v>45734442</v>
      </c>
    </row>
    <row r="52" spans="2:10" x14ac:dyDescent="0.3">
      <c r="B52" s="4">
        <v>48</v>
      </c>
      <c r="C52" s="5" t="s">
        <v>6</v>
      </c>
      <c r="D52" s="5">
        <v>2017</v>
      </c>
      <c r="E52" s="8" t="s">
        <v>21</v>
      </c>
      <c r="F52" s="9">
        <v>16164962</v>
      </c>
      <c r="G52" s="9">
        <v>16462911</v>
      </c>
      <c r="H52" s="5">
        <v>0</v>
      </c>
      <c r="I52" s="5">
        <v>19882</v>
      </c>
      <c r="J52" s="5">
        <f t="shared" si="0"/>
        <v>32627873</v>
      </c>
    </row>
    <row r="53" spans="2:10" x14ac:dyDescent="0.3">
      <c r="B53" s="4">
        <v>49</v>
      </c>
      <c r="C53" s="5" t="s">
        <v>6</v>
      </c>
      <c r="D53" s="5">
        <v>2017</v>
      </c>
      <c r="E53" s="8" t="s">
        <v>22</v>
      </c>
      <c r="F53" s="9">
        <v>10217264</v>
      </c>
      <c r="G53" s="9">
        <v>11076504</v>
      </c>
      <c r="H53" s="5">
        <v>0</v>
      </c>
      <c r="I53" s="5">
        <v>4002</v>
      </c>
      <c r="J53" s="5">
        <f t="shared" si="0"/>
        <v>21293768</v>
      </c>
    </row>
    <row r="54" spans="2:10" x14ac:dyDescent="0.3">
      <c r="B54" s="4">
        <v>50</v>
      </c>
      <c r="C54" s="5" t="s">
        <v>6</v>
      </c>
      <c r="D54" s="5">
        <v>2017</v>
      </c>
      <c r="E54" s="8" t="s">
        <v>23</v>
      </c>
      <c r="F54" s="9">
        <v>6510293</v>
      </c>
      <c r="G54" s="9">
        <v>7460628</v>
      </c>
      <c r="H54" s="5">
        <v>0</v>
      </c>
      <c r="I54" s="5">
        <v>2139</v>
      </c>
      <c r="J54" s="5">
        <f t="shared" si="0"/>
        <v>13970921</v>
      </c>
    </row>
    <row r="55" spans="2:10" x14ac:dyDescent="0.3">
      <c r="B55" s="4">
        <v>51</v>
      </c>
      <c r="C55" s="5" t="s">
        <v>6</v>
      </c>
      <c r="D55" s="5">
        <v>2017</v>
      </c>
      <c r="E55" s="8" t="s">
        <v>24</v>
      </c>
      <c r="F55" s="9">
        <v>5515294</v>
      </c>
      <c r="G55" s="9">
        <v>6685835</v>
      </c>
      <c r="H55" s="5">
        <v>0</v>
      </c>
      <c r="I55" s="5">
        <v>1760</v>
      </c>
      <c r="J55" s="5">
        <f t="shared" si="0"/>
        <v>12201129</v>
      </c>
    </row>
    <row r="56" spans="2:10" x14ac:dyDescent="0.3">
      <c r="B56" s="4">
        <v>52</v>
      </c>
      <c r="C56" s="5" t="s">
        <v>6</v>
      </c>
      <c r="D56" s="5">
        <v>2018</v>
      </c>
      <c r="E56" s="8" t="s">
        <v>9</v>
      </c>
      <c r="F56" s="9">
        <v>60996093</v>
      </c>
      <c r="G56" s="9">
        <v>55381108</v>
      </c>
      <c r="H56" s="5">
        <v>24346991</v>
      </c>
      <c r="I56" s="5">
        <f>4166856+159817</f>
        <v>4326673</v>
      </c>
      <c r="J56" s="5">
        <f t="shared" si="0"/>
        <v>116377201</v>
      </c>
    </row>
    <row r="57" spans="2:10" x14ac:dyDescent="0.3">
      <c r="B57" s="4">
        <v>53</v>
      </c>
      <c r="C57" s="5" t="s">
        <v>6</v>
      </c>
      <c r="D57" s="5">
        <v>2018</v>
      </c>
      <c r="E57" s="8" t="s">
        <v>10</v>
      </c>
      <c r="F57" s="9">
        <v>64116354</v>
      </c>
      <c r="G57" s="9">
        <v>58132633</v>
      </c>
      <c r="H57" s="5">
        <v>0</v>
      </c>
      <c r="I57" s="5">
        <v>2864872</v>
      </c>
      <c r="J57" s="5">
        <f t="shared" si="0"/>
        <v>122248987</v>
      </c>
    </row>
    <row r="58" spans="2:10" x14ac:dyDescent="0.3">
      <c r="B58" s="4">
        <v>54</v>
      </c>
      <c r="C58" s="5" t="s">
        <v>6</v>
      </c>
      <c r="D58" s="5">
        <v>2018</v>
      </c>
      <c r="E58" s="8" t="s">
        <v>11</v>
      </c>
      <c r="F58" s="9">
        <v>67071242</v>
      </c>
      <c r="G58" s="9">
        <v>60230207</v>
      </c>
      <c r="H58" s="5">
        <v>0</v>
      </c>
      <c r="I58" s="5">
        <v>1043212</v>
      </c>
      <c r="J58" s="5">
        <f t="shared" si="0"/>
        <v>127301449</v>
      </c>
    </row>
    <row r="59" spans="2:10" x14ac:dyDescent="0.3">
      <c r="B59" s="4">
        <v>55</v>
      </c>
      <c r="C59" s="5" t="s">
        <v>6</v>
      </c>
      <c r="D59" s="5">
        <v>2018</v>
      </c>
      <c r="E59" s="8" t="s">
        <v>12</v>
      </c>
      <c r="F59" s="9">
        <v>66337392</v>
      </c>
      <c r="G59" s="9">
        <v>58967292</v>
      </c>
      <c r="H59" s="5">
        <v>0</v>
      </c>
      <c r="I59" s="5">
        <v>448821</v>
      </c>
      <c r="J59" s="5">
        <f t="shared" si="0"/>
        <v>125304684</v>
      </c>
    </row>
    <row r="60" spans="2:10" x14ac:dyDescent="0.3">
      <c r="B60" s="4">
        <v>56</v>
      </c>
      <c r="C60" s="5" t="s">
        <v>6</v>
      </c>
      <c r="D60" s="5">
        <v>2018</v>
      </c>
      <c r="E60" s="8" t="s">
        <v>13</v>
      </c>
      <c r="F60" s="9">
        <v>64078213</v>
      </c>
      <c r="G60" s="9">
        <v>56982700</v>
      </c>
      <c r="H60" s="5">
        <v>0</v>
      </c>
      <c r="I60" s="5">
        <v>299843</v>
      </c>
      <c r="J60" s="5">
        <f t="shared" si="0"/>
        <v>121060913</v>
      </c>
    </row>
    <row r="61" spans="2:10" x14ac:dyDescent="0.3">
      <c r="B61" s="4">
        <v>57</v>
      </c>
      <c r="C61" s="5" t="s">
        <v>6</v>
      </c>
      <c r="D61" s="5">
        <v>2018</v>
      </c>
      <c r="E61" s="8" t="s">
        <v>14</v>
      </c>
      <c r="F61" s="9">
        <v>61189933</v>
      </c>
      <c r="G61" s="9">
        <v>54842787</v>
      </c>
      <c r="H61" s="5">
        <v>0</v>
      </c>
      <c r="I61" s="5">
        <v>233845</v>
      </c>
      <c r="J61" s="5">
        <f t="shared" si="0"/>
        <v>116032720</v>
      </c>
    </row>
    <row r="62" spans="2:10" x14ac:dyDescent="0.3">
      <c r="B62" s="4">
        <v>58</v>
      </c>
      <c r="C62" s="5" t="s">
        <v>6</v>
      </c>
      <c r="D62" s="5">
        <v>2018</v>
      </c>
      <c r="E62" s="8" t="s">
        <v>15</v>
      </c>
      <c r="F62" s="9">
        <v>57576730</v>
      </c>
      <c r="G62" s="9">
        <v>52269750</v>
      </c>
      <c r="H62" s="5">
        <v>0</v>
      </c>
      <c r="I62" s="5">
        <v>198992</v>
      </c>
      <c r="J62" s="5">
        <f t="shared" si="0"/>
        <v>109846480</v>
      </c>
    </row>
    <row r="63" spans="2:10" x14ac:dyDescent="0.3">
      <c r="B63" s="4">
        <v>59</v>
      </c>
      <c r="C63" s="5" t="s">
        <v>6</v>
      </c>
      <c r="D63" s="5">
        <v>2018</v>
      </c>
      <c r="E63" s="8" t="s">
        <v>16</v>
      </c>
      <c r="F63" s="9">
        <v>51556939</v>
      </c>
      <c r="G63" s="9">
        <v>47437459</v>
      </c>
      <c r="H63" s="5">
        <v>0</v>
      </c>
      <c r="I63" s="5">
        <v>98999</v>
      </c>
      <c r="J63" s="5">
        <f t="shared" si="0"/>
        <v>98994398</v>
      </c>
    </row>
    <row r="64" spans="2:10" x14ac:dyDescent="0.3">
      <c r="B64" s="4">
        <v>60</v>
      </c>
      <c r="C64" s="5" t="s">
        <v>6</v>
      </c>
      <c r="D64" s="5">
        <v>2018</v>
      </c>
      <c r="E64" s="8" t="s">
        <v>34</v>
      </c>
      <c r="F64" s="9">
        <v>44553072</v>
      </c>
      <c r="G64" s="9">
        <v>41784882</v>
      </c>
      <c r="H64" s="5">
        <v>0</v>
      </c>
      <c r="I64" s="5">
        <v>84778</v>
      </c>
      <c r="J64" s="5">
        <f t="shared" si="0"/>
        <v>86337954</v>
      </c>
    </row>
    <row r="65" spans="2:10" x14ac:dyDescent="0.3">
      <c r="B65" s="4">
        <v>61</v>
      </c>
      <c r="C65" s="5" t="s">
        <v>6</v>
      </c>
      <c r="D65" s="5">
        <v>2018</v>
      </c>
      <c r="E65" s="8" t="s">
        <v>17</v>
      </c>
      <c r="F65" s="9">
        <v>39028988</v>
      </c>
      <c r="G65" s="9">
        <v>37004404</v>
      </c>
      <c r="H65" s="5">
        <v>0</v>
      </c>
      <c r="I65" s="5">
        <v>47689</v>
      </c>
      <c r="J65" s="5">
        <f t="shared" si="0"/>
        <v>76033392</v>
      </c>
    </row>
    <row r="66" spans="2:10" x14ac:dyDescent="0.3">
      <c r="B66" s="4">
        <v>62</v>
      </c>
      <c r="C66" s="5" t="s">
        <v>6</v>
      </c>
      <c r="D66" s="5">
        <v>2018</v>
      </c>
      <c r="E66" s="8" t="s">
        <v>18</v>
      </c>
      <c r="F66" s="9">
        <v>33841414</v>
      </c>
      <c r="G66" s="9">
        <v>32292454</v>
      </c>
      <c r="H66" s="5">
        <v>0</v>
      </c>
      <c r="I66" s="5">
        <v>44789</v>
      </c>
      <c r="J66" s="5">
        <f t="shared" si="0"/>
        <v>66133868</v>
      </c>
    </row>
    <row r="67" spans="2:10" x14ac:dyDescent="0.3">
      <c r="B67" s="4">
        <v>63</v>
      </c>
      <c r="C67" s="5" t="s">
        <v>6</v>
      </c>
      <c r="D67" s="5">
        <v>2018</v>
      </c>
      <c r="E67" s="8" t="s">
        <v>19</v>
      </c>
      <c r="F67" s="9">
        <v>28853550</v>
      </c>
      <c r="G67" s="9">
        <v>27789591</v>
      </c>
      <c r="H67" s="5">
        <v>0</v>
      </c>
      <c r="I67" s="5">
        <v>34765</v>
      </c>
      <c r="J67" s="5">
        <f t="shared" si="0"/>
        <v>56643141</v>
      </c>
    </row>
    <row r="68" spans="2:10" x14ac:dyDescent="0.3">
      <c r="B68" s="4">
        <v>64</v>
      </c>
      <c r="C68" s="5" t="s">
        <v>6</v>
      </c>
      <c r="D68" s="5">
        <v>2018</v>
      </c>
      <c r="E68" s="8" t="s">
        <v>20</v>
      </c>
      <c r="F68" s="9">
        <v>23643347</v>
      </c>
      <c r="G68" s="9">
        <v>23060619</v>
      </c>
      <c r="H68" s="5">
        <v>0</v>
      </c>
      <c r="I68" s="5">
        <v>24312</v>
      </c>
      <c r="J68" s="5">
        <f t="shared" si="0"/>
        <v>46703966</v>
      </c>
    </row>
    <row r="69" spans="2:10" x14ac:dyDescent="0.3">
      <c r="B69" s="4">
        <v>65</v>
      </c>
      <c r="C69" s="5" t="s">
        <v>6</v>
      </c>
      <c r="D69" s="5">
        <v>2018</v>
      </c>
      <c r="E69" s="8" t="s">
        <v>21</v>
      </c>
      <c r="F69" s="9">
        <v>17258733</v>
      </c>
      <c r="G69" s="9">
        <v>17392827</v>
      </c>
      <c r="H69" s="5">
        <v>0</v>
      </c>
      <c r="I69" s="5">
        <v>19882</v>
      </c>
      <c r="J69" s="5">
        <f t="shared" ref="J69:J132" si="1">SUM(F69:G69)</f>
        <v>34651560</v>
      </c>
    </row>
    <row r="70" spans="2:10" x14ac:dyDescent="0.3">
      <c r="B70" s="4">
        <v>66</v>
      </c>
      <c r="C70" s="5" t="s">
        <v>6</v>
      </c>
      <c r="D70" s="5">
        <v>2018</v>
      </c>
      <c r="E70" s="8" t="s">
        <v>22</v>
      </c>
      <c r="F70" s="9">
        <v>10526265</v>
      </c>
      <c r="G70" s="9">
        <v>11409390</v>
      </c>
      <c r="H70" s="5">
        <v>0</v>
      </c>
      <c r="I70" s="5">
        <v>4002</v>
      </c>
      <c r="J70" s="5">
        <f t="shared" si="1"/>
        <v>21935655</v>
      </c>
    </row>
    <row r="71" spans="2:10" x14ac:dyDescent="0.3">
      <c r="B71" s="4">
        <v>67</v>
      </c>
      <c r="C71" s="5" t="s">
        <v>6</v>
      </c>
      <c r="D71" s="5">
        <v>2018</v>
      </c>
      <c r="E71" s="8" t="s">
        <v>23</v>
      </c>
      <c r="F71" s="9">
        <v>6681232</v>
      </c>
      <c r="G71" s="9">
        <v>7612268</v>
      </c>
      <c r="H71" s="5">
        <v>0</v>
      </c>
      <c r="I71" s="5">
        <v>2139</v>
      </c>
      <c r="J71" s="5">
        <f t="shared" si="1"/>
        <v>14293500</v>
      </c>
    </row>
    <row r="72" spans="2:10" x14ac:dyDescent="0.3">
      <c r="B72" s="4">
        <v>68</v>
      </c>
      <c r="C72" s="5" t="s">
        <v>6</v>
      </c>
      <c r="D72" s="5">
        <v>2018</v>
      </c>
      <c r="E72" s="8" t="s">
        <v>24</v>
      </c>
      <c r="F72" s="9">
        <v>5733115</v>
      </c>
      <c r="G72" s="9">
        <v>6977349</v>
      </c>
      <c r="H72" s="5">
        <v>0</v>
      </c>
      <c r="I72" s="5">
        <v>1760</v>
      </c>
      <c r="J72" s="5">
        <f t="shared" si="1"/>
        <v>12710464</v>
      </c>
    </row>
    <row r="73" spans="2:10" x14ac:dyDescent="0.3">
      <c r="B73" s="4">
        <v>69</v>
      </c>
      <c r="C73" s="5" t="s">
        <v>6</v>
      </c>
      <c r="D73" s="5">
        <v>2019</v>
      </c>
      <c r="E73" s="8" t="s">
        <v>9</v>
      </c>
      <c r="F73" s="5">
        <v>61184852</v>
      </c>
      <c r="G73" s="5">
        <v>55596970</v>
      </c>
      <c r="H73" s="5">
        <v>24322245</v>
      </c>
      <c r="I73" s="5">
        <f>4166856+314301</f>
        <v>4481157</v>
      </c>
      <c r="J73" s="5">
        <f t="shared" si="1"/>
        <v>116781822</v>
      </c>
    </row>
    <row r="74" spans="2:10" x14ac:dyDescent="0.3">
      <c r="B74" s="4">
        <v>70</v>
      </c>
      <c r="C74" s="5" t="s">
        <v>6</v>
      </c>
      <c r="D74" s="5">
        <v>2019</v>
      </c>
      <c r="E74" s="8" t="s">
        <v>10</v>
      </c>
      <c r="F74" s="5">
        <v>62910580</v>
      </c>
      <c r="G74" s="5">
        <v>57039427</v>
      </c>
      <c r="H74" s="5">
        <v>0</v>
      </c>
      <c r="I74" s="5">
        <v>2864872</v>
      </c>
      <c r="J74" s="5">
        <f t="shared" si="1"/>
        <v>119950007</v>
      </c>
    </row>
    <row r="75" spans="2:10" x14ac:dyDescent="0.3">
      <c r="B75" s="4">
        <v>71</v>
      </c>
      <c r="C75" s="5" t="s">
        <v>6</v>
      </c>
      <c r="D75" s="5">
        <v>2019</v>
      </c>
      <c r="E75" s="8" t="s">
        <v>11</v>
      </c>
      <c r="F75" s="5">
        <v>66812183</v>
      </c>
      <c r="G75" s="5">
        <v>60172728</v>
      </c>
      <c r="H75" s="5">
        <v>0</v>
      </c>
      <c r="I75" s="5">
        <v>1043212</v>
      </c>
      <c r="J75" s="5">
        <f t="shared" si="1"/>
        <v>126984911</v>
      </c>
    </row>
    <row r="76" spans="2:10" x14ac:dyDescent="0.3">
      <c r="B76" s="4">
        <v>72</v>
      </c>
      <c r="C76" s="5" t="s">
        <v>6</v>
      </c>
      <c r="D76" s="5">
        <v>2019</v>
      </c>
      <c r="E76" s="8" t="s">
        <v>12</v>
      </c>
      <c r="F76" s="5">
        <v>66525044</v>
      </c>
      <c r="G76" s="5">
        <v>59164382</v>
      </c>
      <c r="H76" s="5">
        <v>0</v>
      </c>
      <c r="I76" s="5">
        <v>448821</v>
      </c>
      <c r="J76" s="5">
        <f t="shared" si="1"/>
        <v>125689426</v>
      </c>
    </row>
    <row r="77" spans="2:10" x14ac:dyDescent="0.3">
      <c r="B77" s="4">
        <v>73</v>
      </c>
      <c r="C77" s="5" t="s">
        <v>6</v>
      </c>
      <c r="D77" s="5">
        <v>2019</v>
      </c>
      <c r="E77" s="8" t="s">
        <v>13</v>
      </c>
      <c r="F77" s="5">
        <v>64478247</v>
      </c>
      <c r="G77" s="5">
        <v>57319089</v>
      </c>
      <c r="H77" s="5">
        <v>0</v>
      </c>
      <c r="I77" s="5">
        <v>299843</v>
      </c>
      <c r="J77" s="5">
        <f t="shared" si="1"/>
        <v>121797336</v>
      </c>
    </row>
    <row r="78" spans="2:10" x14ac:dyDescent="0.3">
      <c r="B78" s="4">
        <v>74</v>
      </c>
      <c r="C78" s="5" t="s">
        <v>6</v>
      </c>
      <c r="D78" s="5">
        <v>2019</v>
      </c>
      <c r="E78" s="8" t="s">
        <v>14</v>
      </c>
      <c r="F78" s="5">
        <v>61604481</v>
      </c>
      <c r="G78" s="5">
        <v>55079640</v>
      </c>
      <c r="H78" s="5">
        <v>0</v>
      </c>
      <c r="I78" s="5">
        <v>233845</v>
      </c>
      <c r="J78" s="5">
        <f t="shared" si="1"/>
        <v>116684121</v>
      </c>
    </row>
    <row r="79" spans="2:10" x14ac:dyDescent="0.3">
      <c r="B79" s="4">
        <v>75</v>
      </c>
      <c r="C79" s="5" t="s">
        <v>6</v>
      </c>
      <c r="D79" s="5">
        <v>2019</v>
      </c>
      <c r="E79" s="8" t="s">
        <v>15</v>
      </c>
      <c r="F79" s="5">
        <v>58243202</v>
      </c>
      <c r="G79" s="5">
        <v>52817775</v>
      </c>
      <c r="H79" s="5">
        <v>0</v>
      </c>
      <c r="I79" s="5">
        <v>198992</v>
      </c>
      <c r="J79" s="5">
        <f t="shared" si="1"/>
        <v>111060977</v>
      </c>
    </row>
    <row r="80" spans="2:10" x14ac:dyDescent="0.3">
      <c r="B80" s="4">
        <v>76</v>
      </c>
      <c r="C80" s="5" t="s">
        <v>6</v>
      </c>
      <c r="D80" s="5">
        <v>2019</v>
      </c>
      <c r="E80" s="8" t="s">
        <v>16</v>
      </c>
      <c r="F80" s="5">
        <v>52838830</v>
      </c>
      <c r="G80" s="5">
        <v>48499876</v>
      </c>
      <c r="H80" s="5">
        <v>0</v>
      </c>
      <c r="I80" s="5">
        <v>98999</v>
      </c>
      <c r="J80" s="5">
        <f t="shared" si="1"/>
        <v>101338706</v>
      </c>
    </row>
    <row r="81" spans="2:10" x14ac:dyDescent="0.3">
      <c r="B81" s="4">
        <v>77</v>
      </c>
      <c r="C81" s="5" t="s">
        <v>6</v>
      </c>
      <c r="D81" s="5">
        <v>2019</v>
      </c>
      <c r="E81" s="8" t="s">
        <v>34</v>
      </c>
      <c r="F81" s="5">
        <v>45523908</v>
      </c>
      <c r="G81" s="5">
        <v>42635961</v>
      </c>
      <c r="H81" s="5">
        <v>0</v>
      </c>
      <c r="I81" s="5">
        <v>84778</v>
      </c>
      <c r="J81" s="5">
        <f t="shared" si="1"/>
        <v>88159869</v>
      </c>
    </row>
    <row r="82" spans="2:10" x14ac:dyDescent="0.3">
      <c r="B82" s="4">
        <v>78</v>
      </c>
      <c r="C82" s="5" t="s">
        <v>6</v>
      </c>
      <c r="D82" s="5">
        <v>2019</v>
      </c>
      <c r="E82" s="8" t="s">
        <v>17</v>
      </c>
      <c r="F82" s="5">
        <v>39881404</v>
      </c>
      <c r="G82" s="5">
        <v>37840217</v>
      </c>
      <c r="H82" s="5">
        <v>0</v>
      </c>
      <c r="I82" s="5">
        <v>47689</v>
      </c>
      <c r="J82" s="5">
        <f t="shared" si="1"/>
        <v>77721621</v>
      </c>
    </row>
    <row r="83" spans="2:10" x14ac:dyDescent="0.3">
      <c r="B83" s="4">
        <v>79</v>
      </c>
      <c r="C83" s="5" t="s">
        <v>6</v>
      </c>
      <c r="D83" s="5">
        <v>2019</v>
      </c>
      <c r="E83" s="8" t="s">
        <v>18</v>
      </c>
      <c r="F83" s="5">
        <v>34484803</v>
      </c>
      <c r="G83" s="5">
        <v>32947978</v>
      </c>
      <c r="H83" s="5">
        <v>0</v>
      </c>
      <c r="I83" s="5">
        <v>44789</v>
      </c>
      <c r="J83" s="5">
        <f t="shared" si="1"/>
        <v>67432781</v>
      </c>
    </row>
    <row r="84" spans="2:10" x14ac:dyDescent="0.3">
      <c r="B84" s="4">
        <v>80</v>
      </c>
      <c r="C84" s="5" t="s">
        <v>6</v>
      </c>
      <c r="D84" s="5">
        <v>2019</v>
      </c>
      <c r="E84" s="8" t="s">
        <v>19</v>
      </c>
      <c r="F84" s="5">
        <v>29500956</v>
      </c>
      <c r="G84" s="5">
        <v>28445217</v>
      </c>
      <c r="H84" s="5">
        <v>0</v>
      </c>
      <c r="I84" s="5">
        <v>34765</v>
      </c>
      <c r="J84" s="5">
        <f t="shared" si="1"/>
        <v>57946173</v>
      </c>
    </row>
    <row r="85" spans="2:10" x14ac:dyDescent="0.3">
      <c r="B85" s="4">
        <v>81</v>
      </c>
      <c r="C85" s="5" t="s">
        <v>6</v>
      </c>
      <c r="D85" s="5">
        <v>2019</v>
      </c>
      <c r="E85" s="8" t="s">
        <v>20</v>
      </c>
      <c r="F85" s="5">
        <v>24129236</v>
      </c>
      <c r="G85" s="5">
        <v>23591764</v>
      </c>
      <c r="H85" s="5">
        <v>0</v>
      </c>
      <c r="I85" s="5">
        <v>24312</v>
      </c>
      <c r="J85" s="5">
        <f t="shared" si="1"/>
        <v>47721000</v>
      </c>
    </row>
    <row r="86" spans="2:10" x14ac:dyDescent="0.3">
      <c r="B86" s="4">
        <v>82</v>
      </c>
      <c r="C86" s="5" t="s">
        <v>6</v>
      </c>
      <c r="D86" s="5">
        <v>2019</v>
      </c>
      <c r="E86" s="8" t="s">
        <v>21</v>
      </c>
      <c r="F86" s="5">
        <v>18287177</v>
      </c>
      <c r="G86" s="5">
        <v>18288098</v>
      </c>
      <c r="H86" s="5">
        <v>0</v>
      </c>
      <c r="I86" s="5">
        <v>19882</v>
      </c>
      <c r="J86" s="5">
        <f t="shared" si="1"/>
        <v>36575275</v>
      </c>
    </row>
    <row r="87" spans="2:10" x14ac:dyDescent="0.3">
      <c r="B87" s="4">
        <v>83</v>
      </c>
      <c r="C87" s="5" t="s">
        <v>6</v>
      </c>
      <c r="D87" s="5">
        <v>2019</v>
      </c>
      <c r="E87" s="8" t="s">
        <v>22</v>
      </c>
      <c r="F87" s="5">
        <v>10982591</v>
      </c>
      <c r="G87" s="5">
        <v>11861814</v>
      </c>
      <c r="H87" s="5">
        <v>0</v>
      </c>
      <c r="I87" s="5">
        <v>4002</v>
      </c>
      <c r="J87" s="5">
        <f t="shared" si="1"/>
        <v>22844405</v>
      </c>
    </row>
    <row r="88" spans="2:10" x14ac:dyDescent="0.3">
      <c r="B88" s="4">
        <v>84</v>
      </c>
      <c r="C88" s="5" t="s">
        <v>6</v>
      </c>
      <c r="D88" s="5">
        <v>2019</v>
      </c>
      <c r="E88" s="8" t="s">
        <v>23</v>
      </c>
      <c r="F88" s="5">
        <v>6861862</v>
      </c>
      <c r="G88" s="5">
        <v>7794418</v>
      </c>
      <c r="H88" s="5">
        <v>0</v>
      </c>
      <c r="I88" s="5">
        <v>2139</v>
      </c>
      <c r="J88" s="5">
        <f t="shared" si="1"/>
        <v>14656280</v>
      </c>
    </row>
    <row r="89" spans="2:10" x14ac:dyDescent="0.3">
      <c r="B89" s="4">
        <v>85</v>
      </c>
      <c r="C89" s="5" t="s">
        <v>6</v>
      </c>
      <c r="D89" s="5">
        <v>2019</v>
      </c>
      <c r="E89" s="8" t="s">
        <v>24</v>
      </c>
      <c r="F89" s="5">
        <v>5880216</v>
      </c>
      <c r="G89" s="5">
        <v>7192830</v>
      </c>
      <c r="H89" s="5">
        <v>0</v>
      </c>
      <c r="I89" s="5">
        <v>1760</v>
      </c>
      <c r="J89" s="5">
        <f t="shared" si="1"/>
        <v>13073046</v>
      </c>
    </row>
    <row r="90" spans="2:10" x14ac:dyDescent="0.3">
      <c r="B90" s="4">
        <v>86</v>
      </c>
      <c r="C90" s="5" t="s">
        <v>25</v>
      </c>
      <c r="D90" s="5">
        <v>2015</v>
      </c>
      <c r="E90" s="8" t="s">
        <v>9</v>
      </c>
      <c r="F90" s="5">
        <v>10184899</v>
      </c>
      <c r="G90" s="5">
        <v>9735456</v>
      </c>
      <c r="H90" s="5">
        <v>3978420</v>
      </c>
      <c r="I90" s="5">
        <v>1998429</v>
      </c>
      <c r="J90" s="5">
        <f t="shared" si="1"/>
        <v>19920355</v>
      </c>
    </row>
    <row r="91" spans="2:10" x14ac:dyDescent="0.3">
      <c r="B91" s="4">
        <v>87</v>
      </c>
      <c r="C91" s="5" t="s">
        <v>25</v>
      </c>
      <c r="D91" s="5">
        <v>2015</v>
      </c>
      <c r="E91" s="8" t="s">
        <v>10</v>
      </c>
      <c r="F91" s="5">
        <v>10728396</v>
      </c>
      <c r="G91" s="5">
        <v>10257874</v>
      </c>
      <c r="H91" s="5">
        <v>0</v>
      </c>
      <c r="I91" s="5">
        <v>99568</v>
      </c>
      <c r="J91" s="5">
        <f t="shared" si="1"/>
        <v>20986270</v>
      </c>
    </row>
    <row r="92" spans="2:10" x14ac:dyDescent="0.3">
      <c r="B92" s="4">
        <v>88</v>
      </c>
      <c r="C92" s="5" t="s">
        <v>25</v>
      </c>
      <c r="D92" s="5">
        <v>2015</v>
      </c>
      <c r="E92" s="8" t="s">
        <v>11</v>
      </c>
      <c r="F92" s="5">
        <v>10596734</v>
      </c>
      <c r="G92" s="5">
        <v>10134668</v>
      </c>
      <c r="H92" s="5">
        <v>0</v>
      </c>
      <c r="I92" s="5">
        <v>8599</v>
      </c>
      <c r="J92" s="5">
        <f t="shared" si="1"/>
        <v>20731402</v>
      </c>
    </row>
    <row r="93" spans="2:10" x14ac:dyDescent="0.3">
      <c r="B93" s="4">
        <v>89</v>
      </c>
      <c r="C93" s="5" t="s">
        <v>25</v>
      </c>
      <c r="D93" s="5">
        <v>2015</v>
      </c>
      <c r="E93" s="8" t="s">
        <v>12</v>
      </c>
      <c r="F93" s="5">
        <v>10924899</v>
      </c>
      <c r="G93" s="5">
        <v>10468941</v>
      </c>
      <c r="H93" s="5">
        <v>0</v>
      </c>
      <c r="I93" s="5">
        <v>8899</v>
      </c>
      <c r="J93" s="5">
        <f t="shared" si="1"/>
        <v>21393840</v>
      </c>
    </row>
    <row r="94" spans="2:10" x14ac:dyDescent="0.3">
      <c r="B94" s="4">
        <v>90</v>
      </c>
      <c r="C94" s="5" t="s">
        <v>25</v>
      </c>
      <c r="D94" s="5">
        <v>2015</v>
      </c>
      <c r="E94" s="8" t="s">
        <v>13</v>
      </c>
      <c r="F94" s="5">
        <v>11799613</v>
      </c>
      <c r="G94" s="5">
        <v>11270986</v>
      </c>
      <c r="H94" s="5">
        <v>0</v>
      </c>
      <c r="I94" s="5">
        <v>5898</v>
      </c>
      <c r="J94" s="5">
        <f t="shared" si="1"/>
        <v>23070599</v>
      </c>
    </row>
    <row r="95" spans="2:10" x14ac:dyDescent="0.3">
      <c r="B95" s="4">
        <v>91</v>
      </c>
      <c r="C95" s="5" t="s">
        <v>25</v>
      </c>
      <c r="D95" s="5">
        <v>2015</v>
      </c>
      <c r="E95" s="8" t="s">
        <v>14</v>
      </c>
      <c r="F95" s="5">
        <v>11473149</v>
      </c>
      <c r="G95" s="5">
        <v>11062072</v>
      </c>
      <c r="H95" s="5">
        <v>0</v>
      </c>
      <c r="I95" s="5">
        <v>9865</v>
      </c>
      <c r="J95" s="5">
        <f t="shared" si="1"/>
        <v>22535221</v>
      </c>
    </row>
    <row r="96" spans="2:10" x14ac:dyDescent="0.3">
      <c r="B96" s="4">
        <v>92</v>
      </c>
      <c r="C96" s="5" t="s">
        <v>25</v>
      </c>
      <c r="D96" s="5">
        <v>2015</v>
      </c>
      <c r="E96" s="8" t="s">
        <v>15</v>
      </c>
      <c r="F96" s="5">
        <v>10737448</v>
      </c>
      <c r="G96" s="5">
        <v>10589430</v>
      </c>
      <c r="H96" s="5">
        <v>0</v>
      </c>
      <c r="I96" s="5">
        <v>85890</v>
      </c>
      <c r="J96" s="5">
        <f t="shared" si="1"/>
        <v>21326878</v>
      </c>
    </row>
    <row r="97" spans="2:10" x14ac:dyDescent="0.3">
      <c r="B97" s="4">
        <v>93</v>
      </c>
      <c r="C97" s="5" t="s">
        <v>25</v>
      </c>
      <c r="D97" s="5">
        <v>2015</v>
      </c>
      <c r="E97" s="8" t="s">
        <v>16</v>
      </c>
      <c r="F97" s="5">
        <v>10083207</v>
      </c>
      <c r="G97" s="5">
        <v>10098564</v>
      </c>
      <c r="H97" s="5">
        <v>0</v>
      </c>
      <c r="I97" s="5">
        <v>78988</v>
      </c>
      <c r="J97" s="5">
        <f t="shared" si="1"/>
        <v>20181771</v>
      </c>
    </row>
    <row r="98" spans="2:10" x14ac:dyDescent="0.3">
      <c r="B98" s="4">
        <v>94</v>
      </c>
      <c r="C98" s="5" t="s">
        <v>25</v>
      </c>
      <c r="D98" s="5">
        <v>2015</v>
      </c>
      <c r="E98" s="8" t="s">
        <v>34</v>
      </c>
      <c r="F98" s="5">
        <v>10020106</v>
      </c>
      <c r="G98" s="5">
        <v>10087492</v>
      </c>
      <c r="H98" s="5">
        <v>0</v>
      </c>
      <c r="I98" s="5">
        <v>88657</v>
      </c>
      <c r="J98" s="5">
        <f t="shared" si="1"/>
        <v>20107598</v>
      </c>
    </row>
    <row r="99" spans="2:10" x14ac:dyDescent="0.3">
      <c r="B99" s="4">
        <v>95</v>
      </c>
      <c r="C99" s="5" t="s">
        <v>25</v>
      </c>
      <c r="D99" s="5">
        <v>2015</v>
      </c>
      <c r="E99" s="8" t="s">
        <v>17</v>
      </c>
      <c r="F99" s="5">
        <v>10496582</v>
      </c>
      <c r="G99" s="5">
        <v>10352448</v>
      </c>
      <c r="H99" s="5">
        <v>0</v>
      </c>
      <c r="I99" s="5">
        <v>99865</v>
      </c>
      <c r="J99" s="5">
        <f t="shared" si="1"/>
        <v>20849030</v>
      </c>
    </row>
    <row r="100" spans="2:10" x14ac:dyDescent="0.3">
      <c r="B100" s="4">
        <v>96</v>
      </c>
      <c r="C100" s="5" t="s">
        <v>25</v>
      </c>
      <c r="D100" s="5">
        <v>2015</v>
      </c>
      <c r="E100" s="8" t="s">
        <v>18</v>
      </c>
      <c r="F100" s="5">
        <v>11061340</v>
      </c>
      <c r="G100" s="5">
        <v>11053353</v>
      </c>
      <c r="H100" s="5">
        <v>0</v>
      </c>
      <c r="I100" s="5">
        <v>98799</v>
      </c>
      <c r="J100" s="5">
        <f t="shared" si="1"/>
        <v>22114693</v>
      </c>
    </row>
    <row r="101" spans="2:10" x14ac:dyDescent="0.3">
      <c r="B101" s="4">
        <v>97</v>
      </c>
      <c r="C101" s="5" t="s">
        <v>25</v>
      </c>
      <c r="D101" s="5">
        <v>2015</v>
      </c>
      <c r="E101" s="8" t="s">
        <v>19</v>
      </c>
      <c r="F101" s="5">
        <v>10593507</v>
      </c>
      <c r="G101" s="5">
        <v>10952974</v>
      </c>
      <c r="H101" s="5">
        <v>0</v>
      </c>
      <c r="I101" s="5">
        <v>88002</v>
      </c>
      <c r="J101" s="5">
        <f t="shared" si="1"/>
        <v>21546481</v>
      </c>
    </row>
    <row r="102" spans="2:10" x14ac:dyDescent="0.3">
      <c r="B102" s="4">
        <v>98</v>
      </c>
      <c r="C102" s="5" t="s">
        <v>25</v>
      </c>
      <c r="D102" s="5">
        <v>2015</v>
      </c>
      <c r="E102" s="8" t="s">
        <v>20</v>
      </c>
      <c r="F102" s="5">
        <v>9130107</v>
      </c>
      <c r="G102" s="5">
        <v>9790678</v>
      </c>
      <c r="H102" s="5">
        <v>0</v>
      </c>
      <c r="I102" s="5">
        <v>28900</v>
      </c>
      <c r="J102" s="5">
        <f t="shared" si="1"/>
        <v>18920785</v>
      </c>
    </row>
    <row r="103" spans="2:10" x14ac:dyDescent="0.3">
      <c r="B103" s="4">
        <v>99</v>
      </c>
      <c r="C103" s="5" t="s">
        <v>25</v>
      </c>
      <c r="D103" s="5">
        <v>2015</v>
      </c>
      <c r="E103" s="8" t="s">
        <v>21</v>
      </c>
      <c r="F103" s="5">
        <v>7411294</v>
      </c>
      <c r="G103" s="5">
        <v>8279170</v>
      </c>
      <c r="H103" s="5">
        <v>0</v>
      </c>
      <c r="I103" s="5">
        <v>8459</v>
      </c>
      <c r="J103" s="5">
        <f t="shared" si="1"/>
        <v>15690464</v>
      </c>
    </row>
    <row r="104" spans="2:10" x14ac:dyDescent="0.3">
      <c r="B104" s="4">
        <v>100</v>
      </c>
      <c r="C104" s="5" t="s">
        <v>25</v>
      </c>
      <c r="D104" s="5">
        <v>2015</v>
      </c>
      <c r="E104" s="8" t="s">
        <v>22</v>
      </c>
      <c r="F104" s="5">
        <v>5114884</v>
      </c>
      <c r="G104" s="5">
        <v>6066532</v>
      </c>
      <c r="H104" s="5">
        <v>0</v>
      </c>
      <c r="I104" s="5">
        <v>2065</v>
      </c>
      <c r="J104" s="5">
        <f t="shared" si="1"/>
        <v>11181416</v>
      </c>
    </row>
    <row r="105" spans="2:10" x14ac:dyDescent="0.3">
      <c r="B105" s="4">
        <v>101</v>
      </c>
      <c r="C105" s="5" t="s">
        <v>25</v>
      </c>
      <c r="D105" s="5">
        <v>2015</v>
      </c>
      <c r="E105" s="8" t="s">
        <v>23</v>
      </c>
      <c r="F105" s="5">
        <v>3667350</v>
      </c>
      <c r="G105" s="5">
        <v>4444190</v>
      </c>
      <c r="H105" s="5">
        <v>0</v>
      </c>
      <c r="I105" s="5">
        <v>1190</v>
      </c>
      <c r="J105" s="5">
        <f t="shared" si="1"/>
        <v>8111540</v>
      </c>
    </row>
    <row r="106" spans="2:10" x14ac:dyDescent="0.3">
      <c r="B106" s="4">
        <v>102</v>
      </c>
      <c r="C106" s="5" t="s">
        <v>25</v>
      </c>
      <c r="D106" s="5">
        <v>2015</v>
      </c>
      <c r="E106" s="8" t="s">
        <v>24</v>
      </c>
      <c r="F106" s="5">
        <v>4568339</v>
      </c>
      <c r="G106" s="5">
        <v>7398480</v>
      </c>
      <c r="H106" s="5">
        <v>0</v>
      </c>
      <c r="I106" s="5">
        <v>557</v>
      </c>
      <c r="J106" s="5">
        <f t="shared" si="1"/>
        <v>11966819</v>
      </c>
    </row>
    <row r="107" spans="2:10" x14ac:dyDescent="0.3">
      <c r="B107" s="4">
        <v>103</v>
      </c>
      <c r="C107" s="5" t="s">
        <v>25</v>
      </c>
      <c r="D107" s="5">
        <v>2016</v>
      </c>
      <c r="E107" s="8" t="s">
        <v>9</v>
      </c>
      <c r="F107" s="5">
        <v>10016952</v>
      </c>
      <c r="G107" s="5">
        <v>9573695</v>
      </c>
      <c r="H107" s="5">
        <v>3941109</v>
      </c>
      <c r="I107" s="5">
        <f>1998429+31618</f>
        <v>2030047</v>
      </c>
      <c r="J107" s="5">
        <f t="shared" si="1"/>
        <v>19590647</v>
      </c>
    </row>
    <row r="108" spans="2:10" x14ac:dyDescent="0.3">
      <c r="B108" s="4">
        <v>104</v>
      </c>
      <c r="C108" s="5" t="s">
        <v>25</v>
      </c>
      <c r="D108" s="5">
        <v>2016</v>
      </c>
      <c r="E108" s="8" t="s">
        <v>10</v>
      </c>
      <c r="F108" s="5">
        <v>10724140</v>
      </c>
      <c r="G108" s="5">
        <v>10253241</v>
      </c>
      <c r="H108" s="5">
        <v>0</v>
      </c>
      <c r="I108" s="5">
        <v>99568</v>
      </c>
      <c r="J108" s="5">
        <f t="shared" si="1"/>
        <v>20977381</v>
      </c>
    </row>
    <row r="109" spans="2:10" x14ac:dyDescent="0.3">
      <c r="B109" s="4">
        <v>105</v>
      </c>
      <c r="C109" s="5" t="s">
        <v>25</v>
      </c>
      <c r="D109" s="5">
        <v>2016</v>
      </c>
      <c r="E109" s="8" t="s">
        <v>11</v>
      </c>
      <c r="F109" s="5">
        <v>10663777</v>
      </c>
      <c r="G109" s="5">
        <v>10202485</v>
      </c>
      <c r="H109" s="5">
        <v>0</v>
      </c>
      <c r="I109" s="5">
        <v>8599</v>
      </c>
      <c r="J109" s="5">
        <f t="shared" si="1"/>
        <v>20866262</v>
      </c>
    </row>
    <row r="110" spans="2:10" x14ac:dyDescent="0.3">
      <c r="B110" s="4">
        <v>106</v>
      </c>
      <c r="C110" s="5" t="s">
        <v>25</v>
      </c>
      <c r="D110" s="5">
        <v>2016</v>
      </c>
      <c r="E110" s="8" t="s">
        <v>12</v>
      </c>
      <c r="F110" s="5">
        <v>10884673</v>
      </c>
      <c r="G110" s="5">
        <v>10446661</v>
      </c>
      <c r="H110" s="5">
        <v>0</v>
      </c>
      <c r="I110" s="5">
        <v>8899</v>
      </c>
      <c r="J110" s="5">
        <f t="shared" si="1"/>
        <v>21331334</v>
      </c>
    </row>
    <row r="111" spans="2:10" x14ac:dyDescent="0.3">
      <c r="B111" s="4">
        <v>107</v>
      </c>
      <c r="C111" s="5" t="s">
        <v>25</v>
      </c>
      <c r="D111" s="5">
        <v>2016</v>
      </c>
      <c r="E111" s="8" t="s">
        <v>13</v>
      </c>
      <c r="F111" s="5">
        <v>11783886</v>
      </c>
      <c r="G111" s="5">
        <v>11272839</v>
      </c>
      <c r="H111" s="5">
        <v>0</v>
      </c>
      <c r="I111" s="5">
        <v>5898</v>
      </c>
      <c r="J111" s="5">
        <f t="shared" si="1"/>
        <v>23056725</v>
      </c>
    </row>
    <row r="112" spans="2:10" x14ac:dyDescent="0.3">
      <c r="B112" s="4">
        <v>108</v>
      </c>
      <c r="C112" s="5" t="s">
        <v>25</v>
      </c>
      <c r="D112" s="5">
        <v>2016</v>
      </c>
      <c r="E112" s="8" t="s">
        <v>14</v>
      </c>
      <c r="F112" s="5">
        <v>11663748</v>
      </c>
      <c r="G112" s="5">
        <v>11223441</v>
      </c>
      <c r="H112" s="5">
        <v>0</v>
      </c>
      <c r="I112" s="5">
        <v>9865</v>
      </c>
      <c r="J112" s="5">
        <f t="shared" si="1"/>
        <v>22887189</v>
      </c>
    </row>
    <row r="113" spans="2:10" x14ac:dyDescent="0.3">
      <c r="B113" s="4">
        <v>109</v>
      </c>
      <c r="C113" s="5" t="s">
        <v>25</v>
      </c>
      <c r="D113" s="5">
        <v>2016</v>
      </c>
      <c r="E113" s="8" t="s">
        <v>15</v>
      </c>
      <c r="F113" s="5">
        <v>10937125</v>
      </c>
      <c r="G113" s="5">
        <v>10747293</v>
      </c>
      <c r="H113" s="5">
        <v>0</v>
      </c>
      <c r="I113" s="5">
        <v>85890</v>
      </c>
      <c r="J113" s="5">
        <f t="shared" si="1"/>
        <v>21684418</v>
      </c>
    </row>
    <row r="114" spans="2:10" x14ac:dyDescent="0.3">
      <c r="B114" s="4">
        <v>110</v>
      </c>
      <c r="C114" s="5" t="s">
        <v>25</v>
      </c>
      <c r="D114" s="5">
        <v>2016</v>
      </c>
      <c r="E114" s="8" t="s">
        <v>16</v>
      </c>
      <c r="F114" s="5">
        <v>10200578</v>
      </c>
      <c r="G114" s="5">
        <v>10197576</v>
      </c>
      <c r="H114" s="5">
        <v>0</v>
      </c>
      <c r="I114" s="5">
        <v>78988</v>
      </c>
      <c r="J114" s="5">
        <f t="shared" si="1"/>
        <v>20398154</v>
      </c>
    </row>
    <row r="115" spans="2:10" x14ac:dyDescent="0.3">
      <c r="B115" s="4">
        <v>111</v>
      </c>
      <c r="C115" s="5" t="s">
        <v>25</v>
      </c>
      <c r="D115" s="5">
        <v>2016</v>
      </c>
      <c r="E115" s="8" t="s">
        <v>34</v>
      </c>
      <c r="F115" s="5">
        <v>9989633</v>
      </c>
      <c r="G115" s="5">
        <v>10080276</v>
      </c>
      <c r="H115" s="5">
        <v>0</v>
      </c>
      <c r="I115" s="5">
        <v>88657</v>
      </c>
      <c r="J115" s="5">
        <f t="shared" si="1"/>
        <v>20069909</v>
      </c>
    </row>
    <row r="116" spans="2:10" x14ac:dyDescent="0.3">
      <c r="B116" s="4">
        <v>112</v>
      </c>
      <c r="C116" s="5" t="s">
        <v>25</v>
      </c>
      <c r="D116" s="5">
        <v>2016</v>
      </c>
      <c r="E116" s="8" t="s">
        <v>17</v>
      </c>
      <c r="F116" s="5">
        <v>10355761</v>
      </c>
      <c r="G116" s="5">
        <v>10250825</v>
      </c>
      <c r="H116" s="5">
        <v>0</v>
      </c>
      <c r="I116" s="5">
        <v>99865</v>
      </c>
      <c r="J116" s="5">
        <f t="shared" si="1"/>
        <v>20606586</v>
      </c>
    </row>
    <row r="117" spans="2:10" x14ac:dyDescent="0.3">
      <c r="B117" s="4">
        <v>113</v>
      </c>
      <c r="C117" s="5" t="s">
        <v>25</v>
      </c>
      <c r="D117" s="5">
        <v>2016</v>
      </c>
      <c r="E117" s="8" t="s">
        <v>18</v>
      </c>
      <c r="F117" s="5">
        <v>10960188</v>
      </c>
      <c r="G117" s="5">
        <v>10924304</v>
      </c>
      <c r="H117" s="5">
        <v>0</v>
      </c>
      <c r="I117" s="5">
        <v>98799</v>
      </c>
      <c r="J117" s="5">
        <f t="shared" si="1"/>
        <v>21884492</v>
      </c>
    </row>
    <row r="118" spans="2:10" x14ac:dyDescent="0.3">
      <c r="B118" s="4">
        <v>114</v>
      </c>
      <c r="C118" s="5" t="s">
        <v>25</v>
      </c>
      <c r="D118" s="5">
        <v>2016</v>
      </c>
      <c r="E118" s="8" t="s">
        <v>19</v>
      </c>
      <c r="F118" s="5">
        <v>10691633</v>
      </c>
      <c r="G118" s="5">
        <v>11015609</v>
      </c>
      <c r="H118" s="5">
        <v>0</v>
      </c>
      <c r="I118" s="5">
        <v>88002</v>
      </c>
      <c r="J118" s="5">
        <f t="shared" si="1"/>
        <v>21707242</v>
      </c>
    </row>
    <row r="119" spans="2:10" x14ac:dyDescent="0.3">
      <c r="B119" s="4">
        <v>115</v>
      </c>
      <c r="C119" s="5" t="s">
        <v>25</v>
      </c>
      <c r="D119" s="5">
        <v>2016</v>
      </c>
      <c r="E119" s="8" t="s">
        <v>20</v>
      </c>
      <c r="F119" s="5">
        <v>9339147</v>
      </c>
      <c r="G119" s="5">
        <v>9991870</v>
      </c>
      <c r="H119" s="5">
        <v>0</v>
      </c>
      <c r="I119" s="5">
        <v>28900</v>
      </c>
      <c r="J119" s="5">
        <f t="shared" si="1"/>
        <v>19331017</v>
      </c>
    </row>
    <row r="120" spans="2:10" x14ac:dyDescent="0.3">
      <c r="B120" s="4">
        <v>116</v>
      </c>
      <c r="C120" s="5" t="s">
        <v>25</v>
      </c>
      <c r="D120" s="5">
        <v>2016</v>
      </c>
      <c r="E120" s="8" t="s">
        <v>21</v>
      </c>
      <c r="F120" s="5">
        <v>7672057</v>
      </c>
      <c r="G120" s="5">
        <v>8547554</v>
      </c>
      <c r="H120" s="5">
        <v>0</v>
      </c>
      <c r="I120" s="5">
        <v>8459</v>
      </c>
      <c r="J120" s="5">
        <f t="shared" si="1"/>
        <v>16219611</v>
      </c>
    </row>
    <row r="121" spans="2:10" x14ac:dyDescent="0.3">
      <c r="B121" s="4">
        <v>117</v>
      </c>
      <c r="C121" s="5" t="s">
        <v>25</v>
      </c>
      <c r="D121" s="5">
        <v>2016</v>
      </c>
      <c r="E121" s="8" t="s">
        <v>22</v>
      </c>
      <c r="F121" s="5">
        <v>5379510</v>
      </c>
      <c r="G121" s="5">
        <v>6367360</v>
      </c>
      <c r="H121" s="5">
        <v>0</v>
      </c>
      <c r="I121" s="5">
        <v>2065</v>
      </c>
      <c r="J121" s="5">
        <f t="shared" si="1"/>
        <v>11746870</v>
      </c>
    </row>
    <row r="122" spans="2:10" x14ac:dyDescent="0.3">
      <c r="B122" s="4">
        <v>118</v>
      </c>
      <c r="C122" s="5" t="s">
        <v>25</v>
      </c>
      <c r="D122" s="5">
        <v>2016</v>
      </c>
      <c r="E122" s="8" t="s">
        <v>23</v>
      </c>
      <c r="F122" s="5">
        <v>3763025</v>
      </c>
      <c r="G122" s="5">
        <v>4573667</v>
      </c>
      <c r="H122" s="5">
        <v>0</v>
      </c>
      <c r="I122" s="5">
        <v>1190</v>
      </c>
      <c r="J122" s="5">
        <f t="shared" si="1"/>
        <v>8336692</v>
      </c>
    </row>
    <row r="123" spans="2:10" x14ac:dyDescent="0.3">
      <c r="B123" s="4">
        <v>119</v>
      </c>
      <c r="C123" s="5" t="s">
        <v>25</v>
      </c>
      <c r="D123" s="5">
        <v>2016</v>
      </c>
      <c r="E123" s="8" t="s">
        <v>24</v>
      </c>
      <c r="F123" s="5">
        <v>4735454</v>
      </c>
      <c r="G123" s="5">
        <v>7511330</v>
      </c>
      <c r="H123" s="5">
        <v>0</v>
      </c>
      <c r="I123" s="5">
        <v>557</v>
      </c>
      <c r="J123" s="5">
        <f t="shared" si="1"/>
        <v>12246784</v>
      </c>
    </row>
    <row r="124" spans="2:10" x14ac:dyDescent="0.3">
      <c r="B124" s="4">
        <v>120</v>
      </c>
      <c r="C124" s="5" t="s">
        <v>25</v>
      </c>
      <c r="D124" s="5">
        <v>2017</v>
      </c>
      <c r="E124" s="8" t="s">
        <v>9</v>
      </c>
      <c r="F124" s="5">
        <v>9953770</v>
      </c>
      <c r="G124" s="5">
        <v>9515068</v>
      </c>
      <c r="H124" s="5">
        <v>3855512</v>
      </c>
      <c r="I124" s="5">
        <f>1998429+100873</f>
        <v>2099302</v>
      </c>
      <c r="J124" s="5">
        <f t="shared" si="1"/>
        <v>19468838</v>
      </c>
    </row>
    <row r="125" spans="2:10" x14ac:dyDescent="0.3">
      <c r="B125" s="4">
        <v>121</v>
      </c>
      <c r="C125" s="5" t="s">
        <v>25</v>
      </c>
      <c r="D125" s="5">
        <v>2017</v>
      </c>
      <c r="E125" s="8" t="s">
        <v>10</v>
      </c>
      <c r="F125" s="5">
        <v>10649052</v>
      </c>
      <c r="G125" s="5">
        <v>10181137</v>
      </c>
      <c r="H125" s="5">
        <v>0</v>
      </c>
      <c r="I125" s="5">
        <v>99568</v>
      </c>
      <c r="J125" s="5">
        <f t="shared" si="1"/>
        <v>20830189</v>
      </c>
    </row>
    <row r="126" spans="2:10" x14ac:dyDescent="0.3">
      <c r="B126" s="4">
        <v>122</v>
      </c>
      <c r="C126" s="5" t="s">
        <v>25</v>
      </c>
      <c r="D126" s="5">
        <v>2017</v>
      </c>
      <c r="E126" s="8" t="s">
        <v>11</v>
      </c>
      <c r="F126" s="5">
        <v>10724856</v>
      </c>
      <c r="G126" s="5">
        <v>10263671</v>
      </c>
      <c r="H126" s="5">
        <v>0</v>
      </c>
      <c r="I126" s="5">
        <v>8599</v>
      </c>
      <c r="J126" s="5">
        <f t="shared" si="1"/>
        <v>20988527</v>
      </c>
    </row>
    <row r="127" spans="2:10" x14ac:dyDescent="0.3">
      <c r="B127" s="4">
        <v>123</v>
      </c>
      <c r="C127" s="5" t="s">
        <v>25</v>
      </c>
      <c r="D127" s="5">
        <v>2017</v>
      </c>
      <c r="E127" s="8" t="s">
        <v>12</v>
      </c>
      <c r="F127" s="5">
        <v>10855224</v>
      </c>
      <c r="G127" s="5">
        <v>10427870</v>
      </c>
      <c r="H127" s="5">
        <v>0</v>
      </c>
      <c r="I127" s="5">
        <v>8899</v>
      </c>
      <c r="J127" s="5">
        <f t="shared" si="1"/>
        <v>21283094</v>
      </c>
    </row>
    <row r="128" spans="2:10" x14ac:dyDescent="0.3">
      <c r="B128" s="4">
        <v>124</v>
      </c>
      <c r="C128" s="5" t="s">
        <v>25</v>
      </c>
      <c r="D128" s="5">
        <v>2017</v>
      </c>
      <c r="E128" s="8" t="s">
        <v>13</v>
      </c>
      <c r="F128" s="5">
        <v>11687942</v>
      </c>
      <c r="G128" s="5">
        <v>11207162</v>
      </c>
      <c r="H128" s="5">
        <v>0</v>
      </c>
      <c r="I128" s="5">
        <v>5898</v>
      </c>
      <c r="J128" s="5">
        <f t="shared" si="1"/>
        <v>22895104</v>
      </c>
    </row>
    <row r="129" spans="2:10" x14ac:dyDescent="0.3">
      <c r="B129" s="4">
        <v>125</v>
      </c>
      <c r="C129" s="5" t="s">
        <v>25</v>
      </c>
      <c r="D129" s="5">
        <v>2017</v>
      </c>
      <c r="E129" s="8" t="s">
        <v>14</v>
      </c>
      <c r="F129" s="5">
        <v>11840909</v>
      </c>
      <c r="G129" s="5">
        <v>11381649</v>
      </c>
      <c r="H129" s="5">
        <v>0</v>
      </c>
      <c r="I129" s="5">
        <v>9865</v>
      </c>
      <c r="J129" s="5">
        <f t="shared" si="1"/>
        <v>23222558</v>
      </c>
    </row>
    <row r="130" spans="2:10" x14ac:dyDescent="0.3">
      <c r="B130" s="4">
        <v>126</v>
      </c>
      <c r="C130" s="5" t="s">
        <v>25</v>
      </c>
      <c r="D130" s="5">
        <v>2017</v>
      </c>
      <c r="E130" s="8" t="s">
        <v>15</v>
      </c>
      <c r="F130" s="5">
        <v>11127907</v>
      </c>
      <c r="G130" s="5">
        <v>10892876</v>
      </c>
      <c r="H130" s="5">
        <v>0</v>
      </c>
      <c r="I130" s="5">
        <v>85890</v>
      </c>
      <c r="J130" s="5">
        <f t="shared" si="1"/>
        <v>22020783</v>
      </c>
    </row>
    <row r="131" spans="2:10" x14ac:dyDescent="0.3">
      <c r="B131" s="4">
        <v>127</v>
      </c>
      <c r="C131" s="5" t="s">
        <v>25</v>
      </c>
      <c r="D131" s="5">
        <v>2017</v>
      </c>
      <c r="E131" s="8" t="s">
        <v>16</v>
      </c>
      <c r="F131" s="5">
        <v>10336572</v>
      </c>
      <c r="G131" s="5">
        <v>10314819</v>
      </c>
      <c r="H131" s="5">
        <v>0</v>
      </c>
      <c r="I131" s="5">
        <v>78988</v>
      </c>
      <c r="J131" s="5">
        <f t="shared" si="1"/>
        <v>20651391</v>
      </c>
    </row>
    <row r="132" spans="2:10" x14ac:dyDescent="0.3">
      <c r="B132" s="4">
        <v>128</v>
      </c>
      <c r="C132" s="5" t="s">
        <v>25</v>
      </c>
      <c r="D132" s="5">
        <v>2017</v>
      </c>
      <c r="E132" s="8" t="s">
        <v>34</v>
      </c>
      <c r="F132" s="5">
        <v>9972655</v>
      </c>
      <c r="G132" s="5">
        <v>10071874</v>
      </c>
      <c r="H132" s="5">
        <v>0</v>
      </c>
      <c r="I132" s="5">
        <v>88657</v>
      </c>
      <c r="J132" s="5">
        <f t="shared" si="1"/>
        <v>20044529</v>
      </c>
    </row>
    <row r="133" spans="2:10" x14ac:dyDescent="0.3">
      <c r="B133" s="4">
        <v>129</v>
      </c>
      <c r="C133" s="5" t="s">
        <v>25</v>
      </c>
      <c r="D133" s="5">
        <v>2017</v>
      </c>
      <c r="E133" s="8" t="s">
        <v>17</v>
      </c>
      <c r="F133" s="5">
        <v>10224087</v>
      </c>
      <c r="G133" s="5">
        <v>10177267</v>
      </c>
      <c r="H133" s="5">
        <v>0</v>
      </c>
      <c r="I133" s="5">
        <v>99865</v>
      </c>
      <c r="J133" s="5">
        <f t="shared" ref="J133:J196" si="2">SUM(F133:G133)</f>
        <v>20401354</v>
      </c>
    </row>
    <row r="134" spans="2:10" x14ac:dyDescent="0.3">
      <c r="B134" s="4">
        <v>130</v>
      </c>
      <c r="C134" s="5" t="s">
        <v>25</v>
      </c>
      <c r="D134" s="5">
        <v>2017</v>
      </c>
      <c r="E134" s="8" t="s">
        <v>18</v>
      </c>
      <c r="F134" s="5">
        <v>10810461</v>
      </c>
      <c r="G134" s="5">
        <v>10751245</v>
      </c>
      <c r="H134" s="5">
        <v>0</v>
      </c>
      <c r="I134" s="5">
        <v>98799</v>
      </c>
      <c r="J134" s="5">
        <f t="shared" si="2"/>
        <v>21561706</v>
      </c>
    </row>
    <row r="135" spans="2:10" x14ac:dyDescent="0.3">
      <c r="B135" s="4">
        <v>131</v>
      </c>
      <c r="C135" s="5" t="s">
        <v>25</v>
      </c>
      <c r="D135" s="5">
        <v>2017</v>
      </c>
      <c r="E135" s="8" t="s">
        <v>19</v>
      </c>
      <c r="F135" s="5">
        <v>10746921</v>
      </c>
      <c r="G135" s="5">
        <v>11027131</v>
      </c>
      <c r="H135" s="5">
        <v>0</v>
      </c>
      <c r="I135" s="5">
        <v>88002</v>
      </c>
      <c r="J135" s="5">
        <f t="shared" si="2"/>
        <v>21774052</v>
      </c>
    </row>
    <row r="136" spans="2:10" x14ac:dyDescent="0.3">
      <c r="B136" s="4">
        <v>132</v>
      </c>
      <c r="C136" s="5" t="s">
        <v>25</v>
      </c>
      <c r="D136" s="5">
        <v>2017</v>
      </c>
      <c r="E136" s="8" t="s">
        <v>20</v>
      </c>
      <c r="F136" s="5">
        <v>9543422</v>
      </c>
      <c r="G136" s="5">
        <v>10185704</v>
      </c>
      <c r="H136" s="5">
        <v>0</v>
      </c>
      <c r="I136" s="5">
        <v>28900</v>
      </c>
      <c r="J136" s="5">
        <f t="shared" si="2"/>
        <v>19729126</v>
      </c>
    </row>
    <row r="137" spans="2:10" x14ac:dyDescent="0.3">
      <c r="B137" s="4">
        <v>133</v>
      </c>
      <c r="C137" s="5" t="s">
        <v>25</v>
      </c>
      <c r="D137" s="5">
        <v>2017</v>
      </c>
      <c r="E137" s="8" t="s">
        <v>21</v>
      </c>
      <c r="F137" s="5">
        <v>7884787</v>
      </c>
      <c r="G137" s="5">
        <v>8767454</v>
      </c>
      <c r="H137" s="5">
        <v>0</v>
      </c>
      <c r="I137" s="5">
        <v>8459</v>
      </c>
      <c r="J137" s="5">
        <f t="shared" si="2"/>
        <v>16652241</v>
      </c>
    </row>
    <row r="138" spans="2:10" x14ac:dyDescent="0.3">
      <c r="B138" s="4">
        <v>134</v>
      </c>
      <c r="C138" s="5" t="s">
        <v>25</v>
      </c>
      <c r="D138" s="5">
        <v>2017</v>
      </c>
      <c r="E138" s="8" t="s">
        <v>22</v>
      </c>
      <c r="F138" s="5">
        <v>5629444</v>
      </c>
      <c r="G138" s="5">
        <v>6704090</v>
      </c>
      <c r="H138" s="5">
        <v>0</v>
      </c>
      <c r="I138" s="5">
        <v>2065</v>
      </c>
      <c r="J138" s="5">
        <f t="shared" si="2"/>
        <v>12333534</v>
      </c>
    </row>
    <row r="139" spans="2:10" x14ac:dyDescent="0.3">
      <c r="B139" s="4">
        <v>135</v>
      </c>
      <c r="C139" s="5" t="s">
        <v>25</v>
      </c>
      <c r="D139" s="5">
        <v>2017</v>
      </c>
      <c r="E139" s="8" t="s">
        <v>23</v>
      </c>
      <c r="F139" s="5">
        <v>3854099</v>
      </c>
      <c r="G139" s="5">
        <v>4725780</v>
      </c>
      <c r="H139" s="5">
        <v>0</v>
      </c>
      <c r="I139" s="5">
        <v>1190</v>
      </c>
      <c r="J139" s="5">
        <f t="shared" si="2"/>
        <v>8579879</v>
      </c>
    </row>
    <row r="140" spans="2:10" x14ac:dyDescent="0.3">
      <c r="B140" s="4">
        <v>136</v>
      </c>
      <c r="C140" s="5" t="s">
        <v>25</v>
      </c>
      <c r="D140" s="5">
        <v>2017</v>
      </c>
      <c r="E140" s="8" t="s">
        <v>24</v>
      </c>
      <c r="F140" s="5">
        <v>4883146</v>
      </c>
      <c r="G140" s="5">
        <v>7598866</v>
      </c>
      <c r="H140" s="5">
        <v>0</v>
      </c>
      <c r="I140" s="5">
        <v>557</v>
      </c>
      <c r="J140" s="5">
        <f t="shared" si="2"/>
        <v>12482012</v>
      </c>
    </row>
    <row r="141" spans="2:10" x14ac:dyDescent="0.3">
      <c r="B141" s="4">
        <v>137</v>
      </c>
      <c r="C141" s="5" t="s">
        <v>25</v>
      </c>
      <c r="D141" s="5">
        <v>2018</v>
      </c>
      <c r="E141" s="8" t="s">
        <v>9</v>
      </c>
      <c r="F141" s="5">
        <v>9961285</v>
      </c>
      <c r="G141" s="5">
        <v>9525853</v>
      </c>
      <c r="H141" s="5">
        <v>3791712</v>
      </c>
      <c r="I141" s="5">
        <f>1998429+126575</f>
        <v>2125004</v>
      </c>
      <c r="J141" s="5">
        <f t="shared" si="2"/>
        <v>19487138</v>
      </c>
    </row>
    <row r="142" spans="2:10" x14ac:dyDescent="0.3">
      <c r="B142" s="4">
        <v>138</v>
      </c>
      <c r="C142" s="5" t="s">
        <v>25</v>
      </c>
      <c r="D142" s="5">
        <v>2018</v>
      </c>
      <c r="E142" s="8" t="s">
        <v>10</v>
      </c>
      <c r="F142" s="5">
        <v>10509587</v>
      </c>
      <c r="G142" s="5">
        <v>10048113</v>
      </c>
      <c r="H142" s="5">
        <v>0</v>
      </c>
      <c r="I142" s="5">
        <v>99568</v>
      </c>
      <c r="J142" s="5">
        <f t="shared" si="2"/>
        <v>20557700</v>
      </c>
    </row>
    <row r="143" spans="2:10" x14ac:dyDescent="0.3">
      <c r="B143" s="4">
        <v>139</v>
      </c>
      <c r="C143" s="5" t="s">
        <v>25</v>
      </c>
      <c r="D143" s="5">
        <v>2018</v>
      </c>
      <c r="E143" s="8" t="s">
        <v>11</v>
      </c>
      <c r="F143" s="5">
        <v>10768548</v>
      </c>
      <c r="G143" s="5">
        <v>10306750</v>
      </c>
      <c r="H143" s="5">
        <v>0</v>
      </c>
      <c r="I143" s="5">
        <v>8599</v>
      </c>
      <c r="J143" s="5">
        <f t="shared" si="2"/>
        <v>21075298</v>
      </c>
    </row>
    <row r="144" spans="2:10" x14ac:dyDescent="0.3">
      <c r="B144" s="4">
        <v>140</v>
      </c>
      <c r="C144" s="5" t="s">
        <v>25</v>
      </c>
      <c r="D144" s="5">
        <v>2018</v>
      </c>
      <c r="E144" s="8" t="s">
        <v>12</v>
      </c>
      <c r="F144" s="5">
        <v>10830151</v>
      </c>
      <c r="G144" s="5">
        <v>10407016</v>
      </c>
      <c r="H144" s="5">
        <v>0</v>
      </c>
      <c r="I144" s="5">
        <v>8899</v>
      </c>
      <c r="J144" s="5">
        <f t="shared" si="2"/>
        <v>21237167</v>
      </c>
    </row>
    <row r="145" spans="2:10" x14ac:dyDescent="0.3">
      <c r="B145" s="4">
        <v>141</v>
      </c>
      <c r="C145" s="5" t="s">
        <v>25</v>
      </c>
      <c r="D145" s="5">
        <v>2018</v>
      </c>
      <c r="E145" s="8" t="s">
        <v>13</v>
      </c>
      <c r="F145" s="5">
        <v>11540498</v>
      </c>
      <c r="G145" s="5">
        <v>11096499</v>
      </c>
      <c r="H145" s="5">
        <v>0</v>
      </c>
      <c r="I145" s="5">
        <v>5898</v>
      </c>
      <c r="J145" s="5">
        <f t="shared" si="2"/>
        <v>22636997</v>
      </c>
    </row>
    <row r="146" spans="2:10" x14ac:dyDescent="0.3">
      <c r="B146" s="4">
        <v>142</v>
      </c>
      <c r="C146" s="5" t="s">
        <v>25</v>
      </c>
      <c r="D146" s="5">
        <v>2018</v>
      </c>
      <c r="E146" s="8" t="s">
        <v>14</v>
      </c>
      <c r="F146" s="5">
        <v>11984144</v>
      </c>
      <c r="G146" s="5">
        <v>11516976</v>
      </c>
      <c r="H146" s="5">
        <v>0</v>
      </c>
      <c r="I146" s="5">
        <v>9865</v>
      </c>
      <c r="J146" s="5">
        <f t="shared" si="2"/>
        <v>23501120</v>
      </c>
    </row>
    <row r="147" spans="2:10" x14ac:dyDescent="0.3">
      <c r="B147" s="4">
        <v>143</v>
      </c>
      <c r="C147" s="5" t="s">
        <v>25</v>
      </c>
      <c r="D147" s="5">
        <v>2018</v>
      </c>
      <c r="E147" s="8" t="s">
        <v>15</v>
      </c>
      <c r="F147" s="5">
        <v>11307107</v>
      </c>
      <c r="G147" s="5">
        <v>11027059</v>
      </c>
      <c r="H147" s="5">
        <v>0</v>
      </c>
      <c r="I147" s="5">
        <v>85890</v>
      </c>
      <c r="J147" s="5">
        <f t="shared" si="2"/>
        <v>22334166</v>
      </c>
    </row>
    <row r="148" spans="2:10" x14ac:dyDescent="0.3">
      <c r="B148" s="4">
        <v>144</v>
      </c>
      <c r="C148" s="5" t="s">
        <v>25</v>
      </c>
      <c r="D148" s="5">
        <v>2018</v>
      </c>
      <c r="E148" s="8" t="s">
        <v>16</v>
      </c>
      <c r="F148" s="5">
        <v>10484916</v>
      </c>
      <c r="G148" s="5">
        <v>10442313</v>
      </c>
      <c r="H148" s="5">
        <v>0</v>
      </c>
      <c r="I148" s="5">
        <v>78988</v>
      </c>
      <c r="J148" s="5">
        <f t="shared" si="2"/>
        <v>20927229</v>
      </c>
    </row>
    <row r="149" spans="2:10" x14ac:dyDescent="0.3">
      <c r="B149" s="4">
        <v>145</v>
      </c>
      <c r="C149" s="5" t="s">
        <v>25</v>
      </c>
      <c r="D149" s="5">
        <v>2018</v>
      </c>
      <c r="E149" s="8" t="s">
        <v>34</v>
      </c>
      <c r="F149" s="5">
        <v>9981141</v>
      </c>
      <c r="G149" s="5">
        <v>10067886</v>
      </c>
      <c r="H149" s="5">
        <v>0</v>
      </c>
      <c r="I149" s="5">
        <v>88657</v>
      </c>
      <c r="J149" s="5">
        <f t="shared" si="2"/>
        <v>20049027</v>
      </c>
    </row>
    <row r="150" spans="2:10" x14ac:dyDescent="0.3">
      <c r="B150" s="4">
        <v>146</v>
      </c>
      <c r="C150" s="5" t="s">
        <v>25</v>
      </c>
      <c r="D150" s="5">
        <v>2018</v>
      </c>
      <c r="E150" s="8" t="s">
        <v>17</v>
      </c>
      <c r="F150" s="5">
        <v>10103930</v>
      </c>
      <c r="G150" s="5">
        <v>10123340</v>
      </c>
      <c r="H150" s="5">
        <v>0</v>
      </c>
      <c r="I150" s="5">
        <v>99865</v>
      </c>
      <c r="J150" s="5">
        <f t="shared" si="2"/>
        <v>20227270</v>
      </c>
    </row>
    <row r="151" spans="2:10" x14ac:dyDescent="0.3">
      <c r="B151" s="4">
        <v>147</v>
      </c>
      <c r="C151" s="5" t="s">
        <v>25</v>
      </c>
      <c r="D151" s="5">
        <v>2018</v>
      </c>
      <c r="E151" s="8" t="s">
        <v>18</v>
      </c>
      <c r="F151" s="5">
        <v>10628004</v>
      </c>
      <c r="G151" s="5">
        <v>10553772</v>
      </c>
      <c r="H151" s="5">
        <v>0</v>
      </c>
      <c r="I151" s="5">
        <v>98799</v>
      </c>
      <c r="J151" s="5">
        <f t="shared" si="2"/>
        <v>21181776</v>
      </c>
    </row>
    <row r="152" spans="2:10" x14ac:dyDescent="0.3">
      <c r="B152" s="4">
        <v>148</v>
      </c>
      <c r="C152" s="5" t="s">
        <v>25</v>
      </c>
      <c r="D152" s="5">
        <v>2018</v>
      </c>
      <c r="E152" s="8" t="s">
        <v>19</v>
      </c>
      <c r="F152" s="5">
        <v>10756911</v>
      </c>
      <c r="G152" s="5">
        <v>10988002</v>
      </c>
      <c r="H152" s="5">
        <v>0</v>
      </c>
      <c r="I152" s="5">
        <v>88002</v>
      </c>
      <c r="J152" s="5">
        <f t="shared" si="2"/>
        <v>21744913</v>
      </c>
    </row>
    <row r="153" spans="2:10" x14ac:dyDescent="0.3">
      <c r="B153" s="4">
        <v>149</v>
      </c>
      <c r="C153" s="5" t="s">
        <v>25</v>
      </c>
      <c r="D153" s="5">
        <v>2018</v>
      </c>
      <c r="E153" s="8" t="s">
        <v>20</v>
      </c>
      <c r="F153" s="5">
        <v>9729771</v>
      </c>
      <c r="G153" s="5">
        <v>10356334</v>
      </c>
      <c r="H153" s="5">
        <v>0</v>
      </c>
      <c r="I153" s="5">
        <v>28900</v>
      </c>
      <c r="J153" s="5">
        <f t="shared" si="2"/>
        <v>20086105</v>
      </c>
    </row>
    <row r="154" spans="2:10" x14ac:dyDescent="0.3">
      <c r="B154" s="4">
        <v>150</v>
      </c>
      <c r="C154" s="5" t="s">
        <v>25</v>
      </c>
      <c r="D154" s="5">
        <v>2018</v>
      </c>
      <c r="E154" s="8" t="s">
        <v>21</v>
      </c>
      <c r="F154" s="5">
        <v>8064079</v>
      </c>
      <c r="G154" s="5">
        <v>8951698</v>
      </c>
      <c r="H154" s="5">
        <v>0</v>
      </c>
      <c r="I154" s="5">
        <v>8459</v>
      </c>
      <c r="J154" s="5">
        <f t="shared" si="2"/>
        <v>17015777</v>
      </c>
    </row>
    <row r="155" spans="2:10" x14ac:dyDescent="0.3">
      <c r="B155" s="4">
        <v>151</v>
      </c>
      <c r="C155" s="5" t="s">
        <v>25</v>
      </c>
      <c r="D155" s="5">
        <v>2018</v>
      </c>
      <c r="E155" s="8" t="s">
        <v>22</v>
      </c>
      <c r="F155" s="5">
        <v>6024703</v>
      </c>
      <c r="G155" s="5">
        <v>7052325</v>
      </c>
      <c r="H155" s="5">
        <v>0</v>
      </c>
      <c r="I155" s="5">
        <v>2065</v>
      </c>
      <c r="J155" s="5">
        <f t="shared" si="2"/>
        <v>13077028</v>
      </c>
    </row>
    <row r="156" spans="2:10" x14ac:dyDescent="0.3">
      <c r="B156" s="4">
        <v>152</v>
      </c>
      <c r="C156" s="5" t="s">
        <v>25</v>
      </c>
      <c r="D156" s="5">
        <v>2018</v>
      </c>
      <c r="E156" s="8" t="s">
        <v>23</v>
      </c>
      <c r="F156" s="5">
        <v>3958811</v>
      </c>
      <c r="G156" s="5">
        <v>4904173</v>
      </c>
      <c r="H156" s="5">
        <v>0</v>
      </c>
      <c r="I156" s="5">
        <v>1190</v>
      </c>
      <c r="J156" s="5">
        <f t="shared" si="2"/>
        <v>8862984</v>
      </c>
    </row>
    <row r="157" spans="2:10" x14ac:dyDescent="0.3">
      <c r="B157" s="4">
        <v>153</v>
      </c>
      <c r="C157" s="5" t="s">
        <v>25</v>
      </c>
      <c r="D157" s="5">
        <v>2018</v>
      </c>
      <c r="E157" s="8" t="s">
        <v>24</v>
      </c>
      <c r="F157" s="5">
        <v>5011343</v>
      </c>
      <c r="G157" s="5">
        <v>7674464</v>
      </c>
      <c r="H157" s="5">
        <v>0</v>
      </c>
      <c r="I157" s="5">
        <v>557</v>
      </c>
      <c r="J157" s="5">
        <f t="shared" si="2"/>
        <v>12685807</v>
      </c>
    </row>
    <row r="158" spans="2:10" x14ac:dyDescent="0.3">
      <c r="B158" s="4">
        <v>154</v>
      </c>
      <c r="C158" s="5" t="s">
        <v>25</v>
      </c>
      <c r="D158" s="5">
        <v>2019</v>
      </c>
      <c r="E158" s="8" t="s">
        <v>9</v>
      </c>
      <c r="F158" s="5">
        <v>9994109</v>
      </c>
      <c r="G158" s="5">
        <v>9560814</v>
      </c>
      <c r="H158" s="5">
        <v>3747540</v>
      </c>
      <c r="I158" s="5">
        <f>1998429+142208</f>
        <v>2140637</v>
      </c>
      <c r="J158" s="5">
        <f t="shared" si="2"/>
        <v>19554923</v>
      </c>
    </row>
    <row r="159" spans="2:10" x14ac:dyDescent="0.3">
      <c r="B159" s="4">
        <v>155</v>
      </c>
      <c r="C159" s="5" t="s">
        <v>25</v>
      </c>
      <c r="D159" s="5">
        <v>2019</v>
      </c>
      <c r="E159" s="8" t="s">
        <v>10</v>
      </c>
      <c r="F159" s="5">
        <v>10345114</v>
      </c>
      <c r="G159" s="5">
        <v>9891747</v>
      </c>
      <c r="H159" s="5">
        <v>0</v>
      </c>
      <c r="I159" s="5">
        <v>99568</v>
      </c>
      <c r="J159" s="5">
        <f t="shared" si="2"/>
        <v>20236861</v>
      </c>
    </row>
    <row r="160" spans="2:10" x14ac:dyDescent="0.3">
      <c r="B160" s="4">
        <v>156</v>
      </c>
      <c r="C160" s="5" t="s">
        <v>25</v>
      </c>
      <c r="D160" s="5">
        <v>2019</v>
      </c>
      <c r="E160" s="8" t="s">
        <v>11</v>
      </c>
      <c r="F160" s="5">
        <v>10778713</v>
      </c>
      <c r="G160" s="5">
        <v>10315712</v>
      </c>
      <c r="H160" s="5">
        <v>0</v>
      </c>
      <c r="I160" s="5">
        <v>8599</v>
      </c>
      <c r="J160" s="5">
        <f t="shared" si="2"/>
        <v>21094425</v>
      </c>
    </row>
    <row r="161" spans="2:10" x14ac:dyDescent="0.3">
      <c r="B161" s="4">
        <v>157</v>
      </c>
      <c r="C161" s="5" t="s">
        <v>25</v>
      </c>
      <c r="D161" s="5">
        <v>2019</v>
      </c>
      <c r="E161" s="8" t="s">
        <v>12</v>
      </c>
      <c r="F161" s="5">
        <v>10810011</v>
      </c>
      <c r="G161" s="5">
        <v>10387288</v>
      </c>
      <c r="H161" s="5">
        <v>0</v>
      </c>
      <c r="I161" s="5">
        <v>8899</v>
      </c>
      <c r="J161" s="5">
        <f t="shared" si="2"/>
        <v>21197299</v>
      </c>
    </row>
    <row r="162" spans="2:10" x14ac:dyDescent="0.3">
      <c r="B162" s="4">
        <v>158</v>
      </c>
      <c r="C162" s="5" t="s">
        <v>25</v>
      </c>
      <c r="D162" s="5">
        <v>2019</v>
      </c>
      <c r="E162" s="8" t="s">
        <v>13</v>
      </c>
      <c r="F162" s="5">
        <v>11394893</v>
      </c>
      <c r="G162" s="5">
        <v>10984798</v>
      </c>
      <c r="H162" s="5">
        <v>0</v>
      </c>
      <c r="I162" s="5">
        <v>5898</v>
      </c>
      <c r="J162" s="5">
        <f t="shared" si="2"/>
        <v>22379691</v>
      </c>
    </row>
    <row r="163" spans="2:10" x14ac:dyDescent="0.3">
      <c r="B163" s="4">
        <v>159</v>
      </c>
      <c r="C163" s="5" t="s">
        <v>25</v>
      </c>
      <c r="D163" s="5">
        <v>2019</v>
      </c>
      <c r="E163" s="8" t="s">
        <v>14</v>
      </c>
      <c r="F163" s="5">
        <v>12073940</v>
      </c>
      <c r="G163" s="5">
        <v>11609603</v>
      </c>
      <c r="H163" s="5">
        <v>0</v>
      </c>
      <c r="I163" s="5">
        <v>9865</v>
      </c>
      <c r="J163" s="5">
        <f t="shared" si="2"/>
        <v>23683543</v>
      </c>
    </row>
    <row r="164" spans="2:10" x14ac:dyDescent="0.3">
      <c r="B164" s="4">
        <v>160</v>
      </c>
      <c r="C164" s="5" t="s">
        <v>25</v>
      </c>
      <c r="D164" s="5">
        <v>2019</v>
      </c>
      <c r="E164" s="8" t="s">
        <v>15</v>
      </c>
      <c r="F164" s="5">
        <v>11483192</v>
      </c>
      <c r="G164" s="5">
        <v>11163282</v>
      </c>
      <c r="H164" s="5">
        <v>0</v>
      </c>
      <c r="I164" s="5">
        <v>85890</v>
      </c>
      <c r="J164" s="5">
        <f t="shared" si="2"/>
        <v>22646474</v>
      </c>
    </row>
    <row r="165" spans="2:10" x14ac:dyDescent="0.3">
      <c r="B165" s="4">
        <v>161</v>
      </c>
      <c r="C165" s="5" t="s">
        <v>25</v>
      </c>
      <c r="D165" s="5">
        <v>2019</v>
      </c>
      <c r="E165" s="8" t="s">
        <v>16</v>
      </c>
      <c r="F165" s="5">
        <v>10646005</v>
      </c>
      <c r="G165" s="5">
        <v>10577274</v>
      </c>
      <c r="H165" s="5">
        <v>0</v>
      </c>
      <c r="I165" s="5">
        <v>78988</v>
      </c>
      <c r="J165" s="5">
        <f t="shared" si="2"/>
        <v>21223279</v>
      </c>
    </row>
    <row r="166" spans="2:10" x14ac:dyDescent="0.3">
      <c r="B166" s="4">
        <v>162</v>
      </c>
      <c r="C166" s="5" t="s">
        <v>25</v>
      </c>
      <c r="D166" s="5">
        <v>2019</v>
      </c>
      <c r="E166" s="8" t="s">
        <v>34</v>
      </c>
      <c r="F166" s="5">
        <v>10014379</v>
      </c>
      <c r="G166" s="5">
        <v>10086648</v>
      </c>
      <c r="H166" s="5">
        <v>0</v>
      </c>
      <c r="I166" s="5">
        <v>88657</v>
      </c>
      <c r="J166" s="5">
        <f t="shared" si="2"/>
        <v>20101027</v>
      </c>
    </row>
    <row r="167" spans="2:10" x14ac:dyDescent="0.3">
      <c r="B167" s="4">
        <v>163</v>
      </c>
      <c r="C167" s="5" t="s">
        <v>25</v>
      </c>
      <c r="D167" s="5">
        <v>2019</v>
      </c>
      <c r="E167" s="8" t="s">
        <v>17</v>
      </c>
      <c r="F167" s="5">
        <v>10004727</v>
      </c>
      <c r="G167" s="5">
        <v>10081631</v>
      </c>
      <c r="H167" s="5">
        <v>0</v>
      </c>
      <c r="I167" s="5">
        <v>99865</v>
      </c>
      <c r="J167" s="5">
        <f t="shared" si="2"/>
        <v>20086358</v>
      </c>
    </row>
    <row r="168" spans="2:10" x14ac:dyDescent="0.3">
      <c r="B168" s="4">
        <v>164</v>
      </c>
      <c r="C168" s="5" t="s">
        <v>25</v>
      </c>
      <c r="D168" s="5">
        <v>2019</v>
      </c>
      <c r="E168" s="8" t="s">
        <v>18</v>
      </c>
      <c r="F168" s="5">
        <v>10444920</v>
      </c>
      <c r="G168" s="5">
        <v>10369204</v>
      </c>
      <c r="H168" s="5">
        <v>0</v>
      </c>
      <c r="I168" s="5">
        <v>98799</v>
      </c>
      <c r="J168" s="5">
        <f t="shared" si="2"/>
        <v>20814124</v>
      </c>
    </row>
    <row r="169" spans="2:10" x14ac:dyDescent="0.3">
      <c r="B169" s="4">
        <v>165</v>
      </c>
      <c r="C169" s="5" t="s">
        <v>25</v>
      </c>
      <c r="D169" s="5">
        <v>2019</v>
      </c>
      <c r="E169" s="8" t="s">
        <v>19</v>
      </c>
      <c r="F169" s="5">
        <v>10727327</v>
      </c>
      <c r="G169" s="5">
        <v>10909487</v>
      </c>
      <c r="H169" s="5">
        <v>0</v>
      </c>
      <c r="I169" s="5">
        <v>88002</v>
      </c>
      <c r="J169" s="5">
        <f t="shared" si="2"/>
        <v>21636814</v>
      </c>
    </row>
    <row r="170" spans="2:10" x14ac:dyDescent="0.3">
      <c r="B170" s="4">
        <v>166</v>
      </c>
      <c r="C170" s="5" t="s">
        <v>25</v>
      </c>
      <c r="D170" s="5">
        <v>2019</v>
      </c>
      <c r="E170" s="8" t="s">
        <v>20</v>
      </c>
      <c r="F170" s="5">
        <v>9888074</v>
      </c>
      <c r="G170" s="5">
        <v>10490334</v>
      </c>
      <c r="H170" s="5">
        <v>0</v>
      </c>
      <c r="I170" s="5">
        <v>28900</v>
      </c>
      <c r="J170" s="5">
        <f t="shared" si="2"/>
        <v>20378408</v>
      </c>
    </row>
    <row r="171" spans="2:10" x14ac:dyDescent="0.3">
      <c r="B171" s="4">
        <v>167</v>
      </c>
      <c r="C171" s="5" t="s">
        <v>25</v>
      </c>
      <c r="D171" s="5">
        <v>2019</v>
      </c>
      <c r="E171" s="8" t="s">
        <v>21</v>
      </c>
      <c r="F171" s="5">
        <v>8241458</v>
      </c>
      <c r="G171" s="5">
        <v>9130305</v>
      </c>
      <c r="H171" s="5">
        <v>0</v>
      </c>
      <c r="I171" s="5">
        <v>8459</v>
      </c>
      <c r="J171" s="5">
        <f t="shared" si="2"/>
        <v>17371763</v>
      </c>
    </row>
    <row r="172" spans="2:10" x14ac:dyDescent="0.3">
      <c r="B172" s="4">
        <v>168</v>
      </c>
      <c r="C172" s="5" t="s">
        <v>25</v>
      </c>
      <c r="D172" s="5">
        <v>2019</v>
      </c>
      <c r="E172" s="8" t="s">
        <v>22</v>
      </c>
      <c r="F172" s="5">
        <v>6340767</v>
      </c>
      <c r="G172" s="5">
        <v>7383579</v>
      </c>
      <c r="H172" s="5">
        <v>0</v>
      </c>
      <c r="I172" s="5">
        <v>2065</v>
      </c>
      <c r="J172" s="5">
        <f t="shared" si="2"/>
        <v>13724346</v>
      </c>
    </row>
    <row r="173" spans="2:10" x14ac:dyDescent="0.3">
      <c r="B173" s="4">
        <v>169</v>
      </c>
      <c r="C173" s="5" t="s">
        <v>25</v>
      </c>
      <c r="D173" s="5">
        <v>2019</v>
      </c>
      <c r="E173" s="8" t="s">
        <v>23</v>
      </c>
      <c r="F173" s="5">
        <v>4106447</v>
      </c>
      <c r="G173" s="5">
        <v>5120726</v>
      </c>
      <c r="H173" s="5">
        <v>0</v>
      </c>
      <c r="I173" s="5">
        <v>1190</v>
      </c>
      <c r="J173" s="5">
        <f t="shared" si="2"/>
        <v>9227173</v>
      </c>
    </row>
    <row r="174" spans="2:10" x14ac:dyDescent="0.3">
      <c r="B174" s="4">
        <v>170</v>
      </c>
      <c r="C174" s="5" t="s">
        <v>25</v>
      </c>
      <c r="D174" s="5">
        <v>2019</v>
      </c>
      <c r="E174" s="8" t="s">
        <v>24</v>
      </c>
      <c r="F174" s="5">
        <v>5123805</v>
      </c>
      <c r="G174" s="5">
        <v>7759209</v>
      </c>
      <c r="H174" s="5">
        <v>0</v>
      </c>
      <c r="I174" s="5">
        <v>557</v>
      </c>
      <c r="J174" s="5">
        <f t="shared" si="2"/>
        <v>12883014</v>
      </c>
    </row>
    <row r="175" spans="2:10" x14ac:dyDescent="0.3">
      <c r="B175" s="4">
        <v>171</v>
      </c>
      <c r="C175" s="5" t="s">
        <v>7</v>
      </c>
      <c r="D175" s="5">
        <v>2015</v>
      </c>
      <c r="E175" s="8" t="s">
        <v>9</v>
      </c>
      <c r="F175" s="5">
        <v>2752288</v>
      </c>
      <c r="G175" s="5">
        <v>2607443</v>
      </c>
      <c r="H175" s="5">
        <v>1005721</v>
      </c>
      <c r="I175" s="5">
        <v>788979</v>
      </c>
      <c r="J175" s="5">
        <f t="shared" si="2"/>
        <v>5359731</v>
      </c>
    </row>
    <row r="176" spans="2:10" x14ac:dyDescent="0.3">
      <c r="B176" s="4">
        <v>172</v>
      </c>
      <c r="C176" s="5" t="s">
        <v>7</v>
      </c>
      <c r="D176" s="5">
        <v>2015</v>
      </c>
      <c r="E176" s="8" t="s">
        <v>10</v>
      </c>
      <c r="F176" s="5">
        <v>2835756</v>
      </c>
      <c r="G176" s="5">
        <v>2687101</v>
      </c>
      <c r="H176" s="5">
        <v>0</v>
      </c>
      <c r="I176" s="5">
        <v>5897</v>
      </c>
      <c r="J176" s="5">
        <f t="shared" si="2"/>
        <v>5522857</v>
      </c>
    </row>
    <row r="177" spans="2:10" x14ac:dyDescent="0.3">
      <c r="B177" s="4">
        <v>173</v>
      </c>
      <c r="C177" s="5" t="s">
        <v>7</v>
      </c>
      <c r="D177" s="5">
        <v>2015</v>
      </c>
      <c r="E177" s="8" t="s">
        <v>11</v>
      </c>
      <c r="F177" s="5">
        <v>2891630</v>
      </c>
      <c r="G177" s="5">
        <v>2740615</v>
      </c>
      <c r="H177" s="5">
        <v>0</v>
      </c>
      <c r="I177" s="5">
        <v>5991</v>
      </c>
      <c r="J177" s="5">
        <f t="shared" si="2"/>
        <v>5632245</v>
      </c>
    </row>
    <row r="178" spans="2:10" x14ac:dyDescent="0.3">
      <c r="B178" s="4">
        <v>174</v>
      </c>
      <c r="C178" s="5" t="s">
        <v>7</v>
      </c>
      <c r="D178" s="5">
        <v>2015</v>
      </c>
      <c r="E178" s="8" t="s">
        <v>12</v>
      </c>
      <c r="F178" s="5">
        <v>3048362</v>
      </c>
      <c r="G178" s="5">
        <v>2891759</v>
      </c>
      <c r="H178" s="5">
        <v>0</v>
      </c>
      <c r="I178" s="5">
        <v>4987</v>
      </c>
      <c r="J178" s="5">
        <f t="shared" si="2"/>
        <v>5940121</v>
      </c>
    </row>
    <row r="179" spans="2:10" x14ac:dyDescent="0.3">
      <c r="B179" s="4">
        <v>175</v>
      </c>
      <c r="C179" s="5" t="s">
        <v>7</v>
      </c>
      <c r="D179" s="5">
        <v>2015</v>
      </c>
      <c r="E179" s="8" t="s">
        <v>13</v>
      </c>
      <c r="F179" s="5">
        <v>3127455</v>
      </c>
      <c r="G179" s="5">
        <v>2971136</v>
      </c>
      <c r="H179" s="5">
        <v>0</v>
      </c>
      <c r="I179" s="5">
        <v>2013</v>
      </c>
      <c r="J179" s="5">
        <f t="shared" si="2"/>
        <v>6098591</v>
      </c>
    </row>
    <row r="180" spans="2:10" x14ac:dyDescent="0.3">
      <c r="B180" s="4">
        <v>176</v>
      </c>
      <c r="C180" s="5" t="s">
        <v>7</v>
      </c>
      <c r="D180" s="5">
        <v>2015</v>
      </c>
      <c r="E180" s="8" t="s">
        <v>14</v>
      </c>
      <c r="F180" s="5">
        <v>3438494</v>
      </c>
      <c r="G180" s="5">
        <v>3273328</v>
      </c>
      <c r="H180" s="5">
        <v>0</v>
      </c>
      <c r="I180" s="5">
        <v>90895</v>
      </c>
      <c r="J180" s="5">
        <f t="shared" si="2"/>
        <v>6711822</v>
      </c>
    </row>
    <row r="181" spans="2:10" x14ac:dyDescent="0.3">
      <c r="B181" s="4">
        <v>177</v>
      </c>
      <c r="C181" s="5" t="s">
        <v>7</v>
      </c>
      <c r="D181" s="5">
        <v>2015</v>
      </c>
      <c r="E181" s="8" t="s">
        <v>15</v>
      </c>
      <c r="F181" s="5">
        <v>3867272</v>
      </c>
      <c r="G181" s="5">
        <v>3691825</v>
      </c>
      <c r="H181" s="5">
        <v>0</v>
      </c>
      <c r="I181" s="5">
        <v>98569</v>
      </c>
      <c r="J181" s="5">
        <f t="shared" si="2"/>
        <v>7559097</v>
      </c>
    </row>
    <row r="182" spans="2:10" x14ac:dyDescent="0.3">
      <c r="B182" s="4">
        <v>178</v>
      </c>
      <c r="C182" s="5" t="s">
        <v>7</v>
      </c>
      <c r="D182" s="5">
        <v>2015</v>
      </c>
      <c r="E182" s="8" t="s">
        <v>16</v>
      </c>
      <c r="F182" s="5">
        <v>4289456</v>
      </c>
      <c r="G182" s="5">
        <v>4134891</v>
      </c>
      <c r="H182" s="5">
        <v>0</v>
      </c>
      <c r="I182" s="5">
        <v>98786</v>
      </c>
      <c r="J182" s="5">
        <f t="shared" si="2"/>
        <v>8424347</v>
      </c>
    </row>
    <row r="183" spans="2:10" x14ac:dyDescent="0.3">
      <c r="B183" s="4">
        <v>179</v>
      </c>
      <c r="C183" s="5" t="s">
        <v>7</v>
      </c>
      <c r="D183" s="5">
        <v>2015</v>
      </c>
      <c r="E183" s="8" t="s">
        <v>34</v>
      </c>
      <c r="F183" s="5">
        <v>5085533</v>
      </c>
      <c r="G183" s="5">
        <v>4894779</v>
      </c>
      <c r="H183" s="5">
        <v>0</v>
      </c>
      <c r="I183" s="5">
        <v>84558</v>
      </c>
      <c r="J183" s="5">
        <f t="shared" si="2"/>
        <v>9980312</v>
      </c>
    </row>
    <row r="184" spans="2:10" x14ac:dyDescent="0.3">
      <c r="B184" s="4">
        <v>180</v>
      </c>
      <c r="C184" s="5" t="s">
        <v>7</v>
      </c>
      <c r="D184" s="5">
        <v>2015</v>
      </c>
      <c r="E184" s="8" t="s">
        <v>17</v>
      </c>
      <c r="F184" s="5">
        <v>4380688</v>
      </c>
      <c r="G184" s="5">
        <v>4284280</v>
      </c>
      <c r="H184" s="5">
        <v>0</v>
      </c>
      <c r="I184" s="5">
        <v>20909</v>
      </c>
      <c r="J184" s="5">
        <f t="shared" si="2"/>
        <v>8664968</v>
      </c>
    </row>
    <row r="185" spans="2:10" x14ac:dyDescent="0.3">
      <c r="B185" s="4">
        <v>181</v>
      </c>
      <c r="C185" s="5" t="s">
        <v>7</v>
      </c>
      <c r="D185" s="5">
        <v>2015</v>
      </c>
      <c r="E185" s="8" t="s">
        <v>18</v>
      </c>
      <c r="F185" s="5">
        <v>4011746</v>
      </c>
      <c r="G185" s="5">
        <v>3924606</v>
      </c>
      <c r="H185" s="5">
        <v>0</v>
      </c>
      <c r="I185" s="5">
        <v>10093</v>
      </c>
      <c r="J185" s="5">
        <f t="shared" si="2"/>
        <v>7936352</v>
      </c>
    </row>
    <row r="186" spans="2:10" x14ac:dyDescent="0.3">
      <c r="B186" s="4">
        <v>182</v>
      </c>
      <c r="C186" s="5" t="s">
        <v>7</v>
      </c>
      <c r="D186" s="5">
        <v>2015</v>
      </c>
      <c r="E186" s="8" t="s">
        <v>19</v>
      </c>
      <c r="F186" s="5">
        <v>3825094</v>
      </c>
      <c r="G186" s="5">
        <v>3786665</v>
      </c>
      <c r="H186" s="5">
        <v>0</v>
      </c>
      <c r="I186" s="5">
        <v>9923</v>
      </c>
      <c r="J186" s="5">
        <f t="shared" si="2"/>
        <v>7611759</v>
      </c>
    </row>
    <row r="187" spans="2:10" x14ac:dyDescent="0.3">
      <c r="B187" s="4">
        <v>183</v>
      </c>
      <c r="C187" s="5" t="s">
        <v>7</v>
      </c>
      <c r="D187" s="5">
        <v>2015</v>
      </c>
      <c r="E187" s="8" t="s">
        <v>20</v>
      </c>
      <c r="F187" s="5">
        <v>4276772</v>
      </c>
      <c r="G187" s="5">
        <v>4341791</v>
      </c>
      <c r="H187" s="5">
        <v>0</v>
      </c>
      <c r="I187" s="5">
        <v>3359</v>
      </c>
      <c r="J187" s="5">
        <f t="shared" si="2"/>
        <v>8618563</v>
      </c>
    </row>
    <row r="188" spans="2:10" x14ac:dyDescent="0.3">
      <c r="B188" s="4">
        <v>184</v>
      </c>
      <c r="C188" s="5" t="s">
        <v>7</v>
      </c>
      <c r="D188" s="5">
        <v>2015</v>
      </c>
      <c r="E188" s="8" t="s">
        <v>21</v>
      </c>
      <c r="F188" s="5">
        <v>4626314</v>
      </c>
      <c r="G188" s="5">
        <v>4938452</v>
      </c>
      <c r="H188" s="5">
        <v>0</v>
      </c>
      <c r="I188" s="5">
        <v>5238</v>
      </c>
      <c r="J188" s="5">
        <f t="shared" si="2"/>
        <v>9564766</v>
      </c>
    </row>
    <row r="189" spans="2:10" x14ac:dyDescent="0.3">
      <c r="B189" s="4">
        <v>185</v>
      </c>
      <c r="C189" s="5" t="s">
        <v>7</v>
      </c>
      <c r="D189" s="5">
        <v>2015</v>
      </c>
      <c r="E189" s="8" t="s">
        <v>22</v>
      </c>
      <c r="F189" s="5">
        <v>3560518</v>
      </c>
      <c r="G189" s="5">
        <v>4092978</v>
      </c>
      <c r="H189" s="5">
        <v>0</v>
      </c>
      <c r="I189" s="5">
        <v>4459</v>
      </c>
      <c r="J189" s="5">
        <f t="shared" si="2"/>
        <v>7653496</v>
      </c>
    </row>
    <row r="190" spans="2:10" x14ac:dyDescent="0.3">
      <c r="B190" s="4">
        <v>186</v>
      </c>
      <c r="C190" s="5" t="s">
        <v>7</v>
      </c>
      <c r="D190" s="5">
        <v>2015</v>
      </c>
      <c r="E190" s="8" t="s">
        <v>23</v>
      </c>
      <c r="F190" s="5">
        <v>2754042</v>
      </c>
      <c r="G190" s="5">
        <v>3463905</v>
      </c>
      <c r="H190" s="5">
        <v>0</v>
      </c>
      <c r="I190" s="5">
        <v>18963</v>
      </c>
      <c r="J190" s="5">
        <f t="shared" si="2"/>
        <v>6217947</v>
      </c>
    </row>
    <row r="191" spans="2:10" x14ac:dyDescent="0.3">
      <c r="B191" s="4">
        <v>187</v>
      </c>
      <c r="C191" s="5" t="s">
        <v>7</v>
      </c>
      <c r="D191" s="5">
        <v>2015</v>
      </c>
      <c r="E191" s="8" t="s">
        <v>24</v>
      </c>
      <c r="F191" s="5">
        <v>3353859</v>
      </c>
      <c r="G191" s="5">
        <v>6291168</v>
      </c>
      <c r="H191" s="5">
        <v>0</v>
      </c>
      <c r="I191" s="5">
        <v>19406</v>
      </c>
      <c r="J191" s="5">
        <f t="shared" si="2"/>
        <v>9645027</v>
      </c>
    </row>
    <row r="192" spans="2:10" x14ac:dyDescent="0.3">
      <c r="B192" s="4">
        <v>188</v>
      </c>
      <c r="C192" s="5" t="s">
        <v>7</v>
      </c>
      <c r="D192" s="5">
        <v>2016</v>
      </c>
      <c r="E192" s="8" t="s">
        <v>9</v>
      </c>
      <c r="F192" s="5">
        <v>2714440</v>
      </c>
      <c r="G192" s="5">
        <v>2572012</v>
      </c>
      <c r="H192" s="5">
        <v>977242</v>
      </c>
      <c r="I192" s="5">
        <v>735113</v>
      </c>
      <c r="J192" s="5">
        <f t="shared" si="2"/>
        <v>5286452</v>
      </c>
    </row>
    <row r="193" spans="2:10" x14ac:dyDescent="0.3">
      <c r="B193" s="4">
        <v>189</v>
      </c>
      <c r="C193" s="5" t="s">
        <v>7</v>
      </c>
      <c r="D193" s="5">
        <v>2016</v>
      </c>
      <c r="E193" s="8" t="s">
        <v>10</v>
      </c>
      <c r="F193" s="5">
        <v>2828019</v>
      </c>
      <c r="G193" s="5">
        <v>2680357</v>
      </c>
      <c r="H193" s="5">
        <v>0</v>
      </c>
      <c r="I193" s="5">
        <v>5897</v>
      </c>
      <c r="J193" s="5">
        <f t="shared" si="2"/>
        <v>5508376</v>
      </c>
    </row>
    <row r="194" spans="2:10" x14ac:dyDescent="0.3">
      <c r="B194" s="4">
        <v>190</v>
      </c>
      <c r="C194" s="5" t="s">
        <v>7</v>
      </c>
      <c r="D194" s="5">
        <v>2016</v>
      </c>
      <c r="E194" s="8" t="s">
        <v>11</v>
      </c>
      <c r="F194" s="5">
        <v>2877604</v>
      </c>
      <c r="G194" s="5">
        <v>2727965</v>
      </c>
      <c r="H194" s="5">
        <v>0</v>
      </c>
      <c r="I194" s="5">
        <v>5991</v>
      </c>
      <c r="J194" s="5">
        <f t="shared" si="2"/>
        <v>5605569</v>
      </c>
    </row>
    <row r="195" spans="2:10" x14ac:dyDescent="0.3">
      <c r="B195" s="4">
        <v>191</v>
      </c>
      <c r="C195" s="5" t="s">
        <v>7</v>
      </c>
      <c r="D195" s="5">
        <v>2016</v>
      </c>
      <c r="E195" s="8" t="s">
        <v>12</v>
      </c>
      <c r="F195" s="5">
        <v>3027351</v>
      </c>
      <c r="G195" s="5">
        <v>2872467</v>
      </c>
      <c r="H195" s="5">
        <v>0</v>
      </c>
      <c r="I195" s="5">
        <v>4987</v>
      </c>
      <c r="J195" s="5">
        <f t="shared" si="2"/>
        <v>5899818</v>
      </c>
    </row>
    <row r="196" spans="2:10" x14ac:dyDescent="0.3">
      <c r="B196" s="4">
        <v>192</v>
      </c>
      <c r="C196" s="5" t="s">
        <v>7</v>
      </c>
      <c r="D196" s="5">
        <v>2016</v>
      </c>
      <c r="E196" s="8" t="s">
        <v>13</v>
      </c>
      <c r="F196" s="5">
        <v>3101240</v>
      </c>
      <c r="G196" s="5">
        <v>2946770</v>
      </c>
      <c r="H196" s="5">
        <v>0</v>
      </c>
      <c r="I196" s="5">
        <v>2013</v>
      </c>
      <c r="J196" s="5">
        <f t="shared" si="2"/>
        <v>6048010</v>
      </c>
    </row>
    <row r="197" spans="2:10" x14ac:dyDescent="0.3">
      <c r="B197" s="4">
        <v>193</v>
      </c>
      <c r="C197" s="5" t="s">
        <v>7</v>
      </c>
      <c r="D197" s="5">
        <v>2016</v>
      </c>
      <c r="E197" s="8" t="s">
        <v>14</v>
      </c>
      <c r="F197" s="5">
        <v>3367137</v>
      </c>
      <c r="G197" s="5">
        <v>3205979</v>
      </c>
      <c r="H197" s="5">
        <v>0</v>
      </c>
      <c r="I197" s="5">
        <v>90895</v>
      </c>
      <c r="J197" s="5">
        <f t="shared" ref="J197:J260" si="3">SUM(F197:G197)</f>
        <v>6573116</v>
      </c>
    </row>
    <row r="198" spans="2:10" x14ac:dyDescent="0.3">
      <c r="B198" s="4">
        <v>194</v>
      </c>
      <c r="C198" s="5" t="s">
        <v>7</v>
      </c>
      <c r="D198" s="5">
        <v>2016</v>
      </c>
      <c r="E198" s="8" t="s">
        <v>15</v>
      </c>
      <c r="F198" s="5">
        <v>3792619</v>
      </c>
      <c r="G198" s="5">
        <v>3618053</v>
      </c>
      <c r="H198" s="5">
        <v>0</v>
      </c>
      <c r="I198" s="5">
        <v>98569</v>
      </c>
      <c r="J198" s="5">
        <f t="shared" si="3"/>
        <v>7410672</v>
      </c>
    </row>
    <row r="199" spans="2:10" x14ac:dyDescent="0.3">
      <c r="B199" s="4">
        <v>195</v>
      </c>
      <c r="C199" s="5" t="s">
        <v>7</v>
      </c>
      <c r="D199" s="5">
        <v>2016</v>
      </c>
      <c r="E199" s="8" t="s">
        <v>16</v>
      </c>
      <c r="F199" s="5">
        <v>4161706</v>
      </c>
      <c r="G199" s="5">
        <v>4010359</v>
      </c>
      <c r="H199" s="5">
        <v>0</v>
      </c>
      <c r="I199" s="5">
        <v>98786</v>
      </c>
      <c r="J199" s="5">
        <f t="shared" si="3"/>
        <v>8172065</v>
      </c>
    </row>
    <row r="200" spans="2:10" x14ac:dyDescent="0.3">
      <c r="B200" s="4">
        <v>196</v>
      </c>
      <c r="C200" s="5" t="s">
        <v>7</v>
      </c>
      <c r="D200" s="5">
        <v>2016</v>
      </c>
      <c r="E200" s="8" t="s">
        <v>34</v>
      </c>
      <c r="F200" s="5">
        <v>5027828</v>
      </c>
      <c r="G200" s="5">
        <v>4840256</v>
      </c>
      <c r="H200" s="5">
        <v>0</v>
      </c>
      <c r="I200" s="5">
        <v>84558</v>
      </c>
      <c r="J200" s="5">
        <f t="shared" si="3"/>
        <v>9868084</v>
      </c>
    </row>
    <row r="201" spans="2:10" x14ac:dyDescent="0.3">
      <c r="B201" s="4">
        <v>197</v>
      </c>
      <c r="C201" s="5" t="s">
        <v>7</v>
      </c>
      <c r="D201" s="5">
        <v>2016</v>
      </c>
      <c r="E201" s="8" t="s">
        <v>17</v>
      </c>
      <c r="F201" s="5">
        <v>4529066</v>
      </c>
      <c r="G201" s="5">
        <v>4423219</v>
      </c>
      <c r="H201" s="5">
        <v>0</v>
      </c>
      <c r="I201" s="5">
        <v>20909</v>
      </c>
      <c r="J201" s="5">
        <f t="shared" si="3"/>
        <v>8952285</v>
      </c>
    </row>
    <row r="202" spans="2:10" x14ac:dyDescent="0.3">
      <c r="B202" s="4">
        <v>198</v>
      </c>
      <c r="C202" s="5" t="s">
        <v>7</v>
      </c>
      <c r="D202" s="5">
        <v>2016</v>
      </c>
      <c r="E202" s="8" t="s">
        <v>18</v>
      </c>
      <c r="F202" s="5">
        <v>4060346</v>
      </c>
      <c r="G202" s="5">
        <v>3979587</v>
      </c>
      <c r="H202" s="5">
        <v>0</v>
      </c>
      <c r="I202" s="5">
        <v>10093</v>
      </c>
      <c r="J202" s="5">
        <f t="shared" si="3"/>
        <v>8039933</v>
      </c>
    </row>
    <row r="203" spans="2:10" x14ac:dyDescent="0.3">
      <c r="B203" s="4">
        <v>199</v>
      </c>
      <c r="C203" s="5" t="s">
        <v>7</v>
      </c>
      <c r="D203" s="5">
        <v>2016</v>
      </c>
      <c r="E203" s="8" t="s">
        <v>19</v>
      </c>
      <c r="F203" s="5">
        <v>3793569</v>
      </c>
      <c r="G203" s="5">
        <v>3755069</v>
      </c>
      <c r="H203" s="5">
        <v>0</v>
      </c>
      <c r="I203" s="5">
        <v>9923</v>
      </c>
      <c r="J203" s="5">
        <f t="shared" si="3"/>
        <v>7548638</v>
      </c>
    </row>
    <row r="204" spans="2:10" x14ac:dyDescent="0.3">
      <c r="B204" s="4">
        <v>200</v>
      </c>
      <c r="C204" s="5" t="s">
        <v>7</v>
      </c>
      <c r="D204" s="5">
        <v>2016</v>
      </c>
      <c r="E204" s="8" t="s">
        <v>20</v>
      </c>
      <c r="F204" s="5">
        <v>4127834</v>
      </c>
      <c r="G204" s="5">
        <v>4182843</v>
      </c>
      <c r="H204" s="5">
        <v>0</v>
      </c>
      <c r="I204" s="5">
        <v>3359</v>
      </c>
      <c r="J204" s="5">
        <f t="shared" si="3"/>
        <v>8310677</v>
      </c>
    </row>
    <row r="205" spans="2:10" x14ac:dyDescent="0.3">
      <c r="B205" s="4">
        <v>201</v>
      </c>
      <c r="C205" s="5" t="s">
        <v>7</v>
      </c>
      <c r="D205" s="5">
        <v>2016</v>
      </c>
      <c r="E205" s="8" t="s">
        <v>21</v>
      </c>
      <c r="F205" s="5">
        <v>4604527</v>
      </c>
      <c r="G205" s="5">
        <v>4902194</v>
      </c>
      <c r="H205" s="5">
        <v>0</v>
      </c>
      <c r="I205" s="5">
        <v>5238</v>
      </c>
      <c r="J205" s="5">
        <f t="shared" si="3"/>
        <v>9506721</v>
      </c>
    </row>
    <row r="206" spans="2:10" x14ac:dyDescent="0.3">
      <c r="B206" s="4">
        <v>202</v>
      </c>
      <c r="C206" s="5" t="s">
        <v>7</v>
      </c>
      <c r="D206" s="5">
        <v>2016</v>
      </c>
      <c r="E206" s="8" t="s">
        <v>22</v>
      </c>
      <c r="F206" s="5">
        <v>3708856</v>
      </c>
      <c r="G206" s="5">
        <v>4243069</v>
      </c>
      <c r="H206" s="5">
        <v>0</v>
      </c>
      <c r="I206" s="5">
        <v>4459</v>
      </c>
      <c r="J206" s="5">
        <f t="shared" si="3"/>
        <v>7951925</v>
      </c>
    </row>
    <row r="207" spans="2:10" x14ac:dyDescent="0.3">
      <c r="B207" s="4">
        <v>203</v>
      </c>
      <c r="C207" s="5" t="s">
        <v>7</v>
      </c>
      <c r="D207" s="5">
        <v>2016</v>
      </c>
      <c r="E207" s="8" t="s">
        <v>23</v>
      </c>
      <c r="F207" s="5">
        <v>2803349</v>
      </c>
      <c r="G207" s="5">
        <v>3511715</v>
      </c>
      <c r="H207" s="5">
        <v>0</v>
      </c>
      <c r="I207" s="5">
        <v>18963</v>
      </c>
      <c r="J207" s="5">
        <f t="shared" si="3"/>
        <v>6315064</v>
      </c>
    </row>
    <row r="208" spans="2:10" x14ac:dyDescent="0.3">
      <c r="B208" s="4">
        <v>204</v>
      </c>
      <c r="C208" s="5" t="s">
        <v>7</v>
      </c>
      <c r="D208" s="5">
        <v>2016</v>
      </c>
      <c r="E208" s="8" t="s">
        <v>24</v>
      </c>
      <c r="F208" s="5">
        <v>3517553</v>
      </c>
      <c r="G208" s="5">
        <v>6479554</v>
      </c>
      <c r="H208" s="5">
        <v>0</v>
      </c>
      <c r="I208" s="5">
        <v>19406</v>
      </c>
      <c r="J208" s="5">
        <f t="shared" si="3"/>
        <v>9997107</v>
      </c>
    </row>
    <row r="209" spans="2:10" x14ac:dyDescent="0.3">
      <c r="B209" s="4">
        <v>205</v>
      </c>
      <c r="C209" s="5" t="s">
        <v>7</v>
      </c>
      <c r="D209" s="5">
        <v>2017</v>
      </c>
      <c r="E209" s="8" t="s">
        <v>9</v>
      </c>
      <c r="F209" s="5">
        <v>2653678</v>
      </c>
      <c r="G209" s="5">
        <v>2514735</v>
      </c>
      <c r="H209" s="5">
        <v>946146</v>
      </c>
      <c r="I209" s="5">
        <v>767542</v>
      </c>
      <c r="J209" s="5">
        <f t="shared" si="3"/>
        <v>5168413</v>
      </c>
    </row>
    <row r="210" spans="2:10" x14ac:dyDescent="0.3">
      <c r="B210" s="4">
        <v>206</v>
      </c>
      <c r="C210" s="5" t="s">
        <v>7</v>
      </c>
      <c r="D210" s="5">
        <v>2017</v>
      </c>
      <c r="E210" s="8" t="s">
        <v>10</v>
      </c>
      <c r="F210" s="5">
        <v>2819519</v>
      </c>
      <c r="G210" s="5">
        <v>2671681</v>
      </c>
      <c r="H210" s="5">
        <v>0</v>
      </c>
      <c r="I210" s="5">
        <v>5897</v>
      </c>
      <c r="J210" s="5">
        <f t="shared" si="3"/>
        <v>5491200</v>
      </c>
    </row>
    <row r="211" spans="2:10" x14ac:dyDescent="0.3">
      <c r="B211" s="4">
        <v>207</v>
      </c>
      <c r="C211" s="5" t="s">
        <v>7</v>
      </c>
      <c r="D211" s="5">
        <v>2017</v>
      </c>
      <c r="E211" s="8" t="s">
        <v>11</v>
      </c>
      <c r="F211" s="5">
        <v>2868387</v>
      </c>
      <c r="G211" s="5">
        <v>2719622</v>
      </c>
      <c r="H211" s="5">
        <v>0</v>
      </c>
      <c r="I211" s="5">
        <v>5991</v>
      </c>
      <c r="J211" s="5">
        <f t="shared" si="3"/>
        <v>5588009</v>
      </c>
    </row>
    <row r="212" spans="2:10" x14ac:dyDescent="0.3">
      <c r="B212" s="4">
        <v>208</v>
      </c>
      <c r="C212" s="5" t="s">
        <v>7</v>
      </c>
      <c r="D212" s="5">
        <v>2017</v>
      </c>
      <c r="E212" s="8" t="s">
        <v>12</v>
      </c>
      <c r="F212" s="5">
        <v>2998464</v>
      </c>
      <c r="G212" s="5">
        <v>2845380</v>
      </c>
      <c r="H212" s="5">
        <v>0</v>
      </c>
      <c r="I212" s="5">
        <v>4987</v>
      </c>
      <c r="J212" s="5">
        <f t="shared" si="3"/>
        <v>5843844</v>
      </c>
    </row>
    <row r="213" spans="2:10" x14ac:dyDescent="0.3">
      <c r="B213" s="4">
        <v>209</v>
      </c>
      <c r="C213" s="5" t="s">
        <v>7</v>
      </c>
      <c r="D213" s="5">
        <v>2017</v>
      </c>
      <c r="E213" s="8" t="s">
        <v>13</v>
      </c>
      <c r="F213" s="5">
        <v>3088707</v>
      </c>
      <c r="G213" s="5">
        <v>2935166</v>
      </c>
      <c r="H213" s="5">
        <v>0</v>
      </c>
      <c r="I213" s="5">
        <v>2013</v>
      </c>
      <c r="J213" s="5">
        <f t="shared" si="3"/>
        <v>6023873</v>
      </c>
    </row>
    <row r="214" spans="2:10" x14ac:dyDescent="0.3">
      <c r="B214" s="4">
        <v>210</v>
      </c>
      <c r="C214" s="5" t="s">
        <v>7</v>
      </c>
      <c r="D214" s="5">
        <v>2017</v>
      </c>
      <c r="E214" s="8" t="s">
        <v>14</v>
      </c>
      <c r="F214" s="5">
        <v>3298005</v>
      </c>
      <c r="G214" s="5">
        <v>3140301</v>
      </c>
      <c r="H214" s="5">
        <v>0</v>
      </c>
      <c r="I214" s="5">
        <v>90895</v>
      </c>
      <c r="J214" s="5">
        <f t="shared" si="3"/>
        <v>6438306</v>
      </c>
    </row>
    <row r="215" spans="2:10" x14ac:dyDescent="0.3">
      <c r="B215" s="4">
        <v>211</v>
      </c>
      <c r="C215" s="5" t="s">
        <v>7</v>
      </c>
      <c r="D215" s="5">
        <v>2017</v>
      </c>
      <c r="E215" s="8" t="s">
        <v>15</v>
      </c>
      <c r="F215" s="5">
        <v>3711974</v>
      </c>
      <c r="G215" s="5">
        <v>3540334</v>
      </c>
      <c r="H215" s="5">
        <v>0</v>
      </c>
      <c r="I215" s="5">
        <v>98569</v>
      </c>
      <c r="J215" s="5">
        <f t="shared" si="3"/>
        <v>7252308</v>
      </c>
    </row>
    <row r="216" spans="2:10" x14ac:dyDescent="0.3">
      <c r="B216" s="4">
        <v>212</v>
      </c>
      <c r="C216" s="5" t="s">
        <v>7</v>
      </c>
      <c r="D216" s="5">
        <v>2017</v>
      </c>
      <c r="E216" s="8" t="s">
        <v>16</v>
      </c>
      <c r="F216" s="5">
        <v>4076405</v>
      </c>
      <c r="G216" s="5">
        <v>3922439</v>
      </c>
      <c r="H216" s="5">
        <v>0</v>
      </c>
      <c r="I216" s="5">
        <v>98786</v>
      </c>
      <c r="J216" s="5">
        <f t="shared" si="3"/>
        <v>7998844</v>
      </c>
    </row>
    <row r="217" spans="2:10" x14ac:dyDescent="0.3">
      <c r="B217" s="4">
        <v>213</v>
      </c>
      <c r="C217" s="5" t="s">
        <v>7</v>
      </c>
      <c r="D217" s="5">
        <v>2017</v>
      </c>
      <c r="E217" s="8" t="s">
        <v>34</v>
      </c>
      <c r="F217" s="5">
        <v>4874289</v>
      </c>
      <c r="G217" s="5">
        <v>4697174</v>
      </c>
      <c r="H217" s="5">
        <v>0</v>
      </c>
      <c r="I217" s="5">
        <v>84558</v>
      </c>
      <c r="J217" s="5">
        <f t="shared" si="3"/>
        <v>9571463</v>
      </c>
    </row>
    <row r="218" spans="2:10" x14ac:dyDescent="0.3">
      <c r="B218" s="4">
        <v>214</v>
      </c>
      <c r="C218" s="5" t="s">
        <v>7</v>
      </c>
      <c r="D218" s="5">
        <v>2017</v>
      </c>
      <c r="E218" s="8" t="s">
        <v>17</v>
      </c>
      <c r="F218" s="5">
        <v>4717350</v>
      </c>
      <c r="G218" s="5">
        <v>4593800</v>
      </c>
      <c r="H218" s="5">
        <v>0</v>
      </c>
      <c r="I218" s="5">
        <v>20909</v>
      </c>
      <c r="J218" s="5">
        <f t="shared" si="3"/>
        <v>9311150</v>
      </c>
    </row>
    <row r="219" spans="2:10" x14ac:dyDescent="0.3">
      <c r="B219" s="4">
        <v>215</v>
      </c>
      <c r="C219" s="5" t="s">
        <v>7</v>
      </c>
      <c r="D219" s="5">
        <v>2017</v>
      </c>
      <c r="E219" s="8" t="s">
        <v>18</v>
      </c>
      <c r="F219" s="5">
        <v>4103341</v>
      </c>
      <c r="G219" s="5">
        <v>4030729</v>
      </c>
      <c r="H219" s="5">
        <v>0</v>
      </c>
      <c r="I219" s="5">
        <v>10093</v>
      </c>
      <c r="J219" s="5">
        <f t="shared" si="3"/>
        <v>8134070</v>
      </c>
    </row>
    <row r="220" spans="2:10" x14ac:dyDescent="0.3">
      <c r="B220" s="4">
        <v>216</v>
      </c>
      <c r="C220" s="5" t="s">
        <v>7</v>
      </c>
      <c r="D220" s="5">
        <v>2017</v>
      </c>
      <c r="E220" s="8" t="s">
        <v>19</v>
      </c>
      <c r="F220" s="5">
        <v>3803755</v>
      </c>
      <c r="G220" s="5">
        <v>3763254</v>
      </c>
      <c r="H220" s="5">
        <v>0</v>
      </c>
      <c r="I220" s="5">
        <v>9923</v>
      </c>
      <c r="J220" s="5">
        <f t="shared" si="3"/>
        <v>7567009</v>
      </c>
    </row>
    <row r="221" spans="2:10" x14ac:dyDescent="0.3">
      <c r="B221" s="4">
        <v>217</v>
      </c>
      <c r="C221" s="5" t="s">
        <v>7</v>
      </c>
      <c r="D221" s="5">
        <v>2017</v>
      </c>
      <c r="E221" s="8" t="s">
        <v>20</v>
      </c>
      <c r="F221" s="5">
        <v>3989075</v>
      </c>
      <c r="G221" s="5">
        <v>4037243</v>
      </c>
      <c r="H221" s="5">
        <v>0</v>
      </c>
      <c r="I221" s="5">
        <v>3359</v>
      </c>
      <c r="J221" s="5">
        <f t="shared" si="3"/>
        <v>8026318</v>
      </c>
    </row>
    <row r="222" spans="2:10" x14ac:dyDescent="0.3">
      <c r="B222" s="4">
        <v>218</v>
      </c>
      <c r="C222" s="5" t="s">
        <v>7</v>
      </c>
      <c r="D222" s="5">
        <v>2017</v>
      </c>
      <c r="E222" s="8" t="s">
        <v>21</v>
      </c>
      <c r="F222" s="5">
        <v>4510789</v>
      </c>
      <c r="G222" s="5">
        <v>4785707</v>
      </c>
      <c r="H222" s="5">
        <v>0</v>
      </c>
      <c r="I222" s="5">
        <v>5238</v>
      </c>
      <c r="J222" s="5">
        <f t="shared" si="3"/>
        <v>9296496</v>
      </c>
    </row>
    <row r="223" spans="2:10" x14ac:dyDescent="0.3">
      <c r="B223" s="4">
        <v>219</v>
      </c>
      <c r="C223" s="5" t="s">
        <v>7</v>
      </c>
      <c r="D223" s="5">
        <v>2017</v>
      </c>
      <c r="E223" s="8" t="s">
        <v>22</v>
      </c>
      <c r="F223" s="5">
        <v>3895960</v>
      </c>
      <c r="G223" s="5">
        <v>4428775</v>
      </c>
      <c r="H223" s="5">
        <v>0</v>
      </c>
      <c r="I223" s="5">
        <v>4459</v>
      </c>
      <c r="J223" s="5">
        <f t="shared" si="3"/>
        <v>8324735</v>
      </c>
    </row>
    <row r="224" spans="2:10" x14ac:dyDescent="0.3">
      <c r="B224" s="4">
        <v>220</v>
      </c>
      <c r="C224" s="5" t="s">
        <v>7</v>
      </c>
      <c r="D224" s="5">
        <v>2017</v>
      </c>
      <c r="E224" s="8" t="s">
        <v>23</v>
      </c>
      <c r="F224" s="5">
        <v>2854512</v>
      </c>
      <c r="G224" s="5">
        <v>3570339</v>
      </c>
      <c r="H224" s="5">
        <v>0</v>
      </c>
      <c r="I224" s="5">
        <v>18963</v>
      </c>
      <c r="J224" s="5">
        <f t="shared" si="3"/>
        <v>6424851</v>
      </c>
    </row>
    <row r="225" spans="2:10" x14ac:dyDescent="0.3">
      <c r="B225" s="4">
        <v>221</v>
      </c>
      <c r="C225" s="5" t="s">
        <v>7</v>
      </c>
      <c r="D225" s="5">
        <v>2017</v>
      </c>
      <c r="E225" s="8" t="s">
        <v>24</v>
      </c>
      <c r="F225" s="5">
        <v>3668804</v>
      </c>
      <c r="G225" s="5">
        <v>6657105</v>
      </c>
      <c r="H225" s="5">
        <v>0</v>
      </c>
      <c r="I225" s="5">
        <v>19406</v>
      </c>
      <c r="J225" s="5">
        <f t="shared" si="3"/>
        <v>10325909</v>
      </c>
    </row>
    <row r="226" spans="2:10" x14ac:dyDescent="0.3">
      <c r="B226" s="4">
        <v>222</v>
      </c>
      <c r="C226" s="5" t="s">
        <v>7</v>
      </c>
      <c r="D226" s="5">
        <v>2018</v>
      </c>
      <c r="E226" s="8" t="s">
        <v>9</v>
      </c>
      <c r="F226" s="5">
        <v>2579643</v>
      </c>
      <c r="G226" s="5">
        <v>2444699</v>
      </c>
      <c r="H226" s="5">
        <v>918400</v>
      </c>
      <c r="I226" s="5">
        <v>789445</v>
      </c>
      <c r="J226" s="5">
        <f t="shared" si="3"/>
        <v>5024342</v>
      </c>
    </row>
    <row r="227" spans="2:10" x14ac:dyDescent="0.3">
      <c r="B227" s="4">
        <v>223</v>
      </c>
      <c r="C227" s="5" t="s">
        <v>7</v>
      </c>
      <c r="D227" s="5">
        <v>2018</v>
      </c>
      <c r="E227" s="8" t="s">
        <v>10</v>
      </c>
      <c r="F227" s="5">
        <v>2806179</v>
      </c>
      <c r="G227" s="5">
        <v>2660047</v>
      </c>
      <c r="H227" s="5">
        <v>0</v>
      </c>
      <c r="I227" s="5">
        <v>5897</v>
      </c>
      <c r="J227" s="5">
        <f t="shared" si="3"/>
        <v>5466226</v>
      </c>
    </row>
    <row r="228" spans="2:10" x14ac:dyDescent="0.3">
      <c r="B228" s="4">
        <v>224</v>
      </c>
      <c r="C228" s="5" t="s">
        <v>7</v>
      </c>
      <c r="D228" s="5">
        <v>2018</v>
      </c>
      <c r="E228" s="8" t="s">
        <v>11</v>
      </c>
      <c r="F228" s="5">
        <v>2861363</v>
      </c>
      <c r="G228" s="5">
        <v>2713070</v>
      </c>
      <c r="H228" s="5">
        <v>0</v>
      </c>
      <c r="I228" s="5">
        <v>5991</v>
      </c>
      <c r="J228" s="5">
        <f t="shared" si="3"/>
        <v>5574433</v>
      </c>
    </row>
    <row r="229" spans="2:10" x14ac:dyDescent="0.3">
      <c r="B229" s="4">
        <v>225</v>
      </c>
      <c r="C229" s="5" t="s">
        <v>7</v>
      </c>
      <c r="D229" s="5">
        <v>2018</v>
      </c>
      <c r="E229" s="8" t="s">
        <v>12</v>
      </c>
      <c r="F229" s="5">
        <v>2965991</v>
      </c>
      <c r="G229" s="5">
        <v>2814547</v>
      </c>
      <c r="H229" s="5">
        <v>0</v>
      </c>
      <c r="I229" s="5">
        <v>4987</v>
      </c>
      <c r="J229" s="5">
        <f t="shared" si="3"/>
        <v>5780538</v>
      </c>
    </row>
    <row r="230" spans="2:10" x14ac:dyDescent="0.3">
      <c r="B230" s="4">
        <v>226</v>
      </c>
      <c r="C230" s="5" t="s">
        <v>7</v>
      </c>
      <c r="D230" s="5">
        <v>2018</v>
      </c>
      <c r="E230" s="8" t="s">
        <v>13</v>
      </c>
      <c r="F230" s="5">
        <v>3083944</v>
      </c>
      <c r="G230" s="5">
        <v>2930666</v>
      </c>
      <c r="H230" s="5">
        <v>0</v>
      </c>
      <c r="I230" s="5">
        <v>2013</v>
      </c>
      <c r="J230" s="5">
        <f t="shared" si="3"/>
        <v>6014610</v>
      </c>
    </row>
    <row r="231" spans="2:10" x14ac:dyDescent="0.3">
      <c r="B231" s="4">
        <v>227</v>
      </c>
      <c r="C231" s="5" t="s">
        <v>7</v>
      </c>
      <c r="D231" s="5">
        <v>2018</v>
      </c>
      <c r="E231" s="8" t="s">
        <v>14</v>
      </c>
      <c r="F231" s="5">
        <v>3234204</v>
      </c>
      <c r="G231" s="5">
        <v>3079295</v>
      </c>
      <c r="H231" s="5">
        <v>0</v>
      </c>
      <c r="I231" s="5">
        <v>90895</v>
      </c>
      <c r="J231" s="5">
        <f t="shared" si="3"/>
        <v>6313499</v>
      </c>
    </row>
    <row r="232" spans="2:10" x14ac:dyDescent="0.3">
      <c r="B232" s="4">
        <v>228</v>
      </c>
      <c r="C232" s="5" t="s">
        <v>7</v>
      </c>
      <c r="D232" s="5">
        <v>2018</v>
      </c>
      <c r="E232" s="8" t="s">
        <v>15</v>
      </c>
      <c r="F232" s="5">
        <v>3626655</v>
      </c>
      <c r="G232" s="5">
        <v>3459237</v>
      </c>
      <c r="H232" s="5">
        <v>0</v>
      </c>
      <c r="I232" s="5">
        <v>98569</v>
      </c>
      <c r="J232" s="5">
        <f t="shared" si="3"/>
        <v>7085892</v>
      </c>
    </row>
    <row r="233" spans="2:10" x14ac:dyDescent="0.3">
      <c r="B233" s="4">
        <v>229</v>
      </c>
      <c r="C233" s="5" t="s">
        <v>7</v>
      </c>
      <c r="D233" s="5">
        <v>2018</v>
      </c>
      <c r="E233" s="8" t="s">
        <v>16</v>
      </c>
      <c r="F233" s="5">
        <v>4020975</v>
      </c>
      <c r="G233" s="5">
        <v>3860824</v>
      </c>
      <c r="H233" s="5">
        <v>0</v>
      </c>
      <c r="I233" s="5">
        <v>98786</v>
      </c>
      <c r="J233" s="5">
        <f t="shared" si="3"/>
        <v>7881799</v>
      </c>
    </row>
    <row r="234" spans="2:10" x14ac:dyDescent="0.3">
      <c r="B234" s="4">
        <v>230</v>
      </c>
      <c r="C234" s="5" t="s">
        <v>7</v>
      </c>
      <c r="D234" s="5">
        <v>2018</v>
      </c>
      <c r="E234" s="8" t="s">
        <v>34</v>
      </c>
      <c r="F234" s="5">
        <v>4661511</v>
      </c>
      <c r="G234" s="5">
        <v>4499018</v>
      </c>
      <c r="H234" s="5">
        <v>0</v>
      </c>
      <c r="I234" s="5">
        <v>84558</v>
      </c>
      <c r="J234" s="5">
        <f t="shared" si="3"/>
        <v>9160529</v>
      </c>
    </row>
    <row r="235" spans="2:10" x14ac:dyDescent="0.3">
      <c r="B235" s="4">
        <v>231</v>
      </c>
      <c r="C235" s="5" t="s">
        <v>7</v>
      </c>
      <c r="D235" s="5">
        <v>2018</v>
      </c>
      <c r="E235" s="8" t="s">
        <v>17</v>
      </c>
      <c r="F235" s="5">
        <v>4906238</v>
      </c>
      <c r="G235" s="5">
        <v>4741437</v>
      </c>
      <c r="H235" s="5">
        <v>0</v>
      </c>
      <c r="I235" s="5">
        <v>20909</v>
      </c>
      <c r="J235" s="5">
        <f t="shared" si="3"/>
        <v>9647675</v>
      </c>
    </row>
    <row r="236" spans="2:10" x14ac:dyDescent="0.3">
      <c r="B236" s="4">
        <v>232</v>
      </c>
      <c r="C236" s="5" t="s">
        <v>7</v>
      </c>
      <c r="D236" s="5">
        <v>2018</v>
      </c>
      <c r="E236" s="8" t="s">
        <v>18</v>
      </c>
      <c r="F236" s="5">
        <v>4153091</v>
      </c>
      <c r="G236" s="5">
        <v>4087552</v>
      </c>
      <c r="H236" s="5">
        <v>0</v>
      </c>
      <c r="I236" s="5">
        <v>10093</v>
      </c>
      <c r="J236" s="5">
        <f t="shared" si="3"/>
        <v>8240643</v>
      </c>
    </row>
    <row r="237" spans="2:10" x14ac:dyDescent="0.3">
      <c r="B237" s="4">
        <v>233</v>
      </c>
      <c r="C237" s="5" t="s">
        <v>7</v>
      </c>
      <c r="D237" s="5">
        <v>2018</v>
      </c>
      <c r="E237" s="8" t="s">
        <v>19</v>
      </c>
      <c r="F237" s="5">
        <v>3844120</v>
      </c>
      <c r="G237" s="5">
        <v>3800932</v>
      </c>
      <c r="H237" s="5">
        <v>0</v>
      </c>
      <c r="I237" s="5">
        <v>9923</v>
      </c>
      <c r="J237" s="5">
        <f t="shared" si="3"/>
        <v>7645052</v>
      </c>
    </row>
    <row r="238" spans="2:10" x14ac:dyDescent="0.3">
      <c r="B238" s="4">
        <v>234</v>
      </c>
      <c r="C238" s="5" t="s">
        <v>7</v>
      </c>
      <c r="D238" s="5">
        <v>2018</v>
      </c>
      <c r="E238" s="8" t="s">
        <v>20</v>
      </c>
      <c r="F238" s="5">
        <v>3868710</v>
      </c>
      <c r="G238" s="5">
        <v>3912000</v>
      </c>
      <c r="H238" s="5">
        <v>0</v>
      </c>
      <c r="I238" s="5">
        <v>3359</v>
      </c>
      <c r="J238" s="5">
        <f t="shared" si="3"/>
        <v>7780710</v>
      </c>
    </row>
    <row r="239" spans="2:10" x14ac:dyDescent="0.3">
      <c r="B239" s="4">
        <v>235</v>
      </c>
      <c r="C239" s="5" t="s">
        <v>7</v>
      </c>
      <c r="D239" s="5">
        <v>2018</v>
      </c>
      <c r="E239" s="8" t="s">
        <v>21</v>
      </c>
      <c r="F239" s="5">
        <v>4369097</v>
      </c>
      <c r="G239" s="5">
        <v>4414837</v>
      </c>
      <c r="H239" s="5">
        <v>0</v>
      </c>
      <c r="I239" s="5">
        <v>5238</v>
      </c>
      <c r="J239" s="5">
        <f t="shared" si="3"/>
        <v>8783934</v>
      </c>
    </row>
    <row r="240" spans="2:10" x14ac:dyDescent="0.3">
      <c r="B240" s="4">
        <v>236</v>
      </c>
      <c r="C240" s="5" t="s">
        <v>7</v>
      </c>
      <c r="D240" s="5">
        <v>2018</v>
      </c>
      <c r="E240" s="8" t="s">
        <v>22</v>
      </c>
      <c r="F240" s="5">
        <v>4086294</v>
      </c>
      <c r="G240" s="5">
        <v>4614520</v>
      </c>
      <c r="H240" s="5">
        <v>0</v>
      </c>
      <c r="I240" s="5">
        <v>4459</v>
      </c>
      <c r="J240" s="5">
        <f t="shared" si="3"/>
        <v>8700814</v>
      </c>
    </row>
    <row r="241" spans="2:10" x14ac:dyDescent="0.3">
      <c r="B241" s="4">
        <v>237</v>
      </c>
      <c r="C241" s="5" t="s">
        <v>7</v>
      </c>
      <c r="D241" s="5">
        <v>2018</v>
      </c>
      <c r="E241" s="8" t="s">
        <v>23</v>
      </c>
      <c r="F241" s="5">
        <v>2919129</v>
      </c>
      <c r="G241" s="5">
        <v>3645342</v>
      </c>
      <c r="H241" s="5">
        <v>0</v>
      </c>
      <c r="I241" s="5">
        <v>18963</v>
      </c>
      <c r="J241" s="5">
        <f t="shared" si="3"/>
        <v>6564471</v>
      </c>
    </row>
    <row r="242" spans="2:10" x14ac:dyDescent="0.3">
      <c r="B242" s="4">
        <v>238</v>
      </c>
      <c r="C242" s="5" t="s">
        <v>7</v>
      </c>
      <c r="D242" s="5">
        <v>2018</v>
      </c>
      <c r="E242" s="8" t="s">
        <v>24</v>
      </c>
      <c r="F242" s="5">
        <v>3810606</v>
      </c>
      <c r="G242" s="5">
        <v>6833327</v>
      </c>
      <c r="H242" s="5">
        <v>0</v>
      </c>
      <c r="I242" s="5">
        <v>19406</v>
      </c>
      <c r="J242" s="5">
        <f t="shared" si="3"/>
        <v>10643933</v>
      </c>
    </row>
    <row r="243" spans="2:10" x14ac:dyDescent="0.3">
      <c r="B243" s="4">
        <v>239</v>
      </c>
      <c r="C243" s="5" t="s">
        <v>7</v>
      </c>
      <c r="D243" s="5">
        <v>2019</v>
      </c>
      <c r="E243" s="8" t="s">
        <v>9</v>
      </c>
      <c r="F243" s="5">
        <v>2506904</v>
      </c>
      <c r="G243" s="5">
        <v>2375603</v>
      </c>
      <c r="H243" s="5">
        <v>865239</v>
      </c>
      <c r="I243" s="5">
        <v>708068</v>
      </c>
      <c r="J243" s="5">
        <f t="shared" si="3"/>
        <v>4882507</v>
      </c>
    </row>
    <row r="244" spans="2:10" x14ac:dyDescent="0.3">
      <c r="B244" s="4">
        <v>240</v>
      </c>
      <c r="C244" s="5" t="s">
        <v>7</v>
      </c>
      <c r="D244" s="5">
        <v>2019</v>
      </c>
      <c r="E244" s="8" t="s">
        <v>10</v>
      </c>
      <c r="F244" s="5">
        <v>2788892</v>
      </c>
      <c r="G244" s="5">
        <v>2643390</v>
      </c>
      <c r="H244" s="5">
        <v>0</v>
      </c>
      <c r="I244" s="5">
        <v>5897</v>
      </c>
      <c r="J244" s="5">
        <f t="shared" si="3"/>
        <v>5432282</v>
      </c>
    </row>
    <row r="245" spans="2:10" x14ac:dyDescent="0.3">
      <c r="B245" s="4">
        <v>241</v>
      </c>
      <c r="C245" s="5" t="s">
        <v>7</v>
      </c>
      <c r="D245" s="5">
        <v>2019</v>
      </c>
      <c r="E245" s="8" t="s">
        <v>11</v>
      </c>
      <c r="F245" s="5">
        <v>2854308</v>
      </c>
      <c r="G245" s="5">
        <v>2706094</v>
      </c>
      <c r="H245" s="5">
        <v>0</v>
      </c>
      <c r="I245" s="5">
        <v>5991</v>
      </c>
      <c r="J245" s="5">
        <f t="shared" si="3"/>
        <v>5560402</v>
      </c>
    </row>
    <row r="246" spans="2:10" x14ac:dyDescent="0.3">
      <c r="B246" s="4">
        <v>242</v>
      </c>
      <c r="C246" s="5" t="s">
        <v>7</v>
      </c>
      <c r="D246" s="5">
        <v>2019</v>
      </c>
      <c r="E246" s="8" t="s">
        <v>12</v>
      </c>
      <c r="F246" s="5">
        <v>2937277</v>
      </c>
      <c r="G246" s="5">
        <v>2786858</v>
      </c>
      <c r="H246" s="5">
        <v>0</v>
      </c>
      <c r="I246" s="5">
        <v>4987</v>
      </c>
      <c r="J246" s="5">
        <f t="shared" si="3"/>
        <v>5724135</v>
      </c>
    </row>
    <row r="247" spans="2:10" x14ac:dyDescent="0.3">
      <c r="B247" s="4">
        <v>243</v>
      </c>
      <c r="C247" s="5" t="s">
        <v>7</v>
      </c>
      <c r="D247" s="5">
        <v>2019</v>
      </c>
      <c r="E247" s="8" t="s">
        <v>13</v>
      </c>
      <c r="F247" s="5">
        <v>3077758</v>
      </c>
      <c r="G247" s="5">
        <v>2924406</v>
      </c>
      <c r="H247" s="5">
        <v>0</v>
      </c>
      <c r="I247" s="5">
        <v>2013</v>
      </c>
      <c r="J247" s="5">
        <f t="shared" si="3"/>
        <v>6002164</v>
      </c>
    </row>
    <row r="248" spans="2:10" x14ac:dyDescent="0.3">
      <c r="B248" s="4">
        <v>244</v>
      </c>
      <c r="C248" s="5" t="s">
        <v>7</v>
      </c>
      <c r="D248" s="5">
        <v>2019</v>
      </c>
      <c r="E248" s="8" t="s">
        <v>14</v>
      </c>
      <c r="F248" s="5">
        <v>3180645</v>
      </c>
      <c r="G248" s="5">
        <v>3027699</v>
      </c>
      <c r="H248" s="5">
        <v>0</v>
      </c>
      <c r="I248" s="5">
        <v>90895</v>
      </c>
      <c r="J248" s="5">
        <f t="shared" si="3"/>
        <v>6208344</v>
      </c>
    </row>
    <row r="249" spans="2:10" x14ac:dyDescent="0.3">
      <c r="B249" s="4">
        <v>245</v>
      </c>
      <c r="C249" s="5" t="s">
        <v>7</v>
      </c>
      <c r="D249" s="5">
        <v>2019</v>
      </c>
      <c r="E249" s="8" t="s">
        <v>15</v>
      </c>
      <c r="F249" s="5">
        <v>3542174</v>
      </c>
      <c r="G249" s="5">
        <v>3378771</v>
      </c>
      <c r="H249" s="5">
        <v>0</v>
      </c>
      <c r="I249" s="5">
        <v>98569</v>
      </c>
      <c r="J249" s="5">
        <f t="shared" si="3"/>
        <v>6920945</v>
      </c>
    </row>
    <row r="250" spans="2:10" x14ac:dyDescent="0.3">
      <c r="B250" s="4">
        <v>246</v>
      </c>
      <c r="C250" s="5" t="s">
        <v>7</v>
      </c>
      <c r="D250" s="5">
        <v>2019</v>
      </c>
      <c r="E250" s="8" t="s">
        <v>16</v>
      </c>
      <c r="F250" s="5">
        <v>3969306</v>
      </c>
      <c r="G250" s="5">
        <v>3803144</v>
      </c>
      <c r="H250" s="5">
        <v>0</v>
      </c>
      <c r="I250" s="5">
        <v>98786</v>
      </c>
      <c r="J250" s="5">
        <f t="shared" si="3"/>
        <v>7772450</v>
      </c>
    </row>
    <row r="251" spans="2:10" x14ac:dyDescent="0.3">
      <c r="B251" s="4">
        <v>247</v>
      </c>
      <c r="C251" s="5" t="s">
        <v>7</v>
      </c>
      <c r="D251" s="5">
        <v>2019</v>
      </c>
      <c r="E251" s="8" t="s">
        <v>34</v>
      </c>
      <c r="F251" s="5">
        <v>4453487</v>
      </c>
      <c r="G251" s="5">
        <v>4302976</v>
      </c>
      <c r="H251" s="5">
        <v>0</v>
      </c>
      <c r="I251" s="5">
        <v>84558</v>
      </c>
      <c r="J251" s="5">
        <f t="shared" si="3"/>
        <v>8756463</v>
      </c>
    </row>
    <row r="252" spans="2:10" x14ac:dyDescent="0.3">
      <c r="B252" s="4">
        <v>248</v>
      </c>
      <c r="C252" s="5" t="s">
        <v>7</v>
      </c>
      <c r="D252" s="5">
        <v>2019</v>
      </c>
      <c r="E252" s="8" t="s">
        <v>17</v>
      </c>
      <c r="F252" s="5">
        <v>5035800</v>
      </c>
      <c r="G252" s="5">
        <v>4873470</v>
      </c>
      <c r="H252" s="5">
        <v>0</v>
      </c>
      <c r="I252" s="5">
        <v>20909</v>
      </c>
      <c r="J252" s="5">
        <f t="shared" si="3"/>
        <v>9909270</v>
      </c>
    </row>
    <row r="253" spans="2:10" x14ac:dyDescent="0.3">
      <c r="B253" s="4">
        <v>249</v>
      </c>
      <c r="C253" s="5" t="s">
        <v>7</v>
      </c>
      <c r="D253" s="5">
        <v>2019</v>
      </c>
      <c r="E253" s="8" t="s">
        <v>18</v>
      </c>
      <c r="F253" s="5">
        <v>4231558</v>
      </c>
      <c r="G253" s="5">
        <v>4167547</v>
      </c>
      <c r="H253" s="5">
        <v>0</v>
      </c>
      <c r="I253" s="5">
        <v>10093</v>
      </c>
      <c r="J253" s="5">
        <f t="shared" si="3"/>
        <v>8399105</v>
      </c>
    </row>
    <row r="254" spans="2:10" x14ac:dyDescent="0.3">
      <c r="B254" s="4">
        <v>250</v>
      </c>
      <c r="C254" s="5" t="s">
        <v>7</v>
      </c>
      <c r="D254" s="5">
        <v>2019</v>
      </c>
      <c r="E254" s="8" t="s">
        <v>19</v>
      </c>
      <c r="F254" s="5">
        <v>3896612</v>
      </c>
      <c r="G254" s="5">
        <v>3851485</v>
      </c>
      <c r="H254" s="5">
        <v>0</v>
      </c>
      <c r="I254" s="5">
        <v>9923</v>
      </c>
      <c r="J254" s="5">
        <f t="shared" si="3"/>
        <v>7748097</v>
      </c>
    </row>
    <row r="255" spans="2:10" x14ac:dyDescent="0.3">
      <c r="B255" s="4">
        <v>251</v>
      </c>
      <c r="C255" s="5" t="s">
        <v>7</v>
      </c>
      <c r="D255" s="5">
        <v>2019</v>
      </c>
      <c r="E255" s="8" t="s">
        <v>20</v>
      </c>
      <c r="F255" s="5">
        <v>3776899</v>
      </c>
      <c r="G255" s="5">
        <v>3814446</v>
      </c>
      <c r="H255" s="5">
        <v>0</v>
      </c>
      <c r="I255" s="5">
        <v>3359</v>
      </c>
      <c r="J255" s="5">
        <f t="shared" si="3"/>
        <v>7591345</v>
      </c>
    </row>
    <row r="256" spans="2:10" x14ac:dyDescent="0.3">
      <c r="B256" s="4">
        <v>252</v>
      </c>
      <c r="C256" s="5" t="s">
        <v>7</v>
      </c>
      <c r="D256" s="5">
        <v>2019</v>
      </c>
      <c r="E256" s="8" t="s">
        <v>21</v>
      </c>
      <c r="F256" s="5">
        <v>4217747</v>
      </c>
      <c r="G256" s="5">
        <v>4432748</v>
      </c>
      <c r="H256" s="5">
        <v>0</v>
      </c>
      <c r="I256" s="5">
        <v>5238</v>
      </c>
      <c r="J256" s="5">
        <f t="shared" si="3"/>
        <v>8650495</v>
      </c>
    </row>
    <row r="257" spans="2:10" x14ac:dyDescent="0.3">
      <c r="B257" s="4">
        <v>253</v>
      </c>
      <c r="C257" s="5" t="s">
        <v>7</v>
      </c>
      <c r="D257" s="5">
        <v>2019</v>
      </c>
      <c r="E257" s="8" t="s">
        <v>22</v>
      </c>
      <c r="F257" s="5">
        <v>4229351</v>
      </c>
      <c r="G257" s="5">
        <v>4747816</v>
      </c>
      <c r="H257" s="5">
        <v>0</v>
      </c>
      <c r="I257" s="5">
        <v>4459</v>
      </c>
      <c r="J257" s="5">
        <f t="shared" si="3"/>
        <v>8977167</v>
      </c>
    </row>
    <row r="258" spans="2:10" x14ac:dyDescent="0.3">
      <c r="B258" s="4">
        <v>254</v>
      </c>
      <c r="C258" s="5" t="s">
        <v>7</v>
      </c>
      <c r="D258" s="5">
        <v>2019</v>
      </c>
      <c r="E258" s="8" t="s">
        <v>23</v>
      </c>
      <c r="F258" s="5">
        <v>3015033</v>
      </c>
      <c r="G258" s="5">
        <v>3748199</v>
      </c>
      <c r="H258" s="5">
        <v>0</v>
      </c>
      <c r="I258" s="5">
        <v>18963</v>
      </c>
      <c r="J258" s="5">
        <f t="shared" si="3"/>
        <v>6763232</v>
      </c>
    </row>
    <row r="259" spans="2:10" x14ac:dyDescent="0.3">
      <c r="B259" s="4">
        <v>255</v>
      </c>
      <c r="C259" s="5" t="s">
        <v>7</v>
      </c>
      <c r="D259" s="5">
        <v>2019</v>
      </c>
      <c r="E259" s="8" t="s">
        <v>24</v>
      </c>
      <c r="F259" s="5">
        <v>3945821</v>
      </c>
      <c r="G259" s="5">
        <v>7020706</v>
      </c>
      <c r="H259" s="5">
        <v>0</v>
      </c>
      <c r="I259" s="5">
        <v>24406</v>
      </c>
      <c r="J259" s="5">
        <f t="shared" si="3"/>
        <v>10966527</v>
      </c>
    </row>
    <row r="260" spans="2:10" x14ac:dyDescent="0.3">
      <c r="B260" s="4">
        <v>256</v>
      </c>
      <c r="C260" s="5" t="s">
        <v>8</v>
      </c>
      <c r="D260" s="5">
        <v>2015</v>
      </c>
      <c r="E260" s="8" t="s">
        <v>9</v>
      </c>
      <c r="F260" s="5">
        <v>2699299</v>
      </c>
      <c r="G260" s="5">
        <v>2550469</v>
      </c>
      <c r="H260" s="5">
        <v>707019</v>
      </c>
      <c r="I260" s="5">
        <v>19056</v>
      </c>
      <c r="J260" s="5">
        <f t="shared" si="3"/>
        <v>5249768</v>
      </c>
    </row>
    <row r="261" spans="2:10" x14ac:dyDescent="0.3">
      <c r="B261" s="4">
        <v>257</v>
      </c>
      <c r="C261" s="5" t="s">
        <v>8</v>
      </c>
      <c r="D261" s="5">
        <v>2015</v>
      </c>
      <c r="E261" s="8" t="s">
        <v>10</v>
      </c>
      <c r="F261" s="5">
        <v>2347944</v>
      </c>
      <c r="G261" s="5">
        <v>2222498</v>
      </c>
      <c r="H261" s="5">
        <v>0</v>
      </c>
      <c r="I261" s="5">
        <v>9256</v>
      </c>
      <c r="J261" s="5">
        <f t="shared" ref="J261:J324" si="4">SUM(F261:G261)</f>
        <v>4570442</v>
      </c>
    </row>
    <row r="262" spans="2:10" x14ac:dyDescent="0.3">
      <c r="B262" s="4">
        <v>258</v>
      </c>
      <c r="C262" s="5" t="s">
        <v>8</v>
      </c>
      <c r="D262" s="5">
        <v>2015</v>
      </c>
      <c r="E262" s="8" t="s">
        <v>11</v>
      </c>
      <c r="F262" s="5">
        <v>2136578</v>
      </c>
      <c r="G262" s="5">
        <v>2026892</v>
      </c>
      <c r="H262" s="5">
        <v>0</v>
      </c>
      <c r="I262" s="5">
        <v>3900</v>
      </c>
      <c r="J262" s="5">
        <f t="shared" si="4"/>
        <v>4163470</v>
      </c>
    </row>
    <row r="263" spans="2:10" x14ac:dyDescent="0.3">
      <c r="B263" s="4">
        <v>259</v>
      </c>
      <c r="C263" s="5" t="s">
        <v>8</v>
      </c>
      <c r="D263" s="5">
        <v>2015</v>
      </c>
      <c r="E263" s="8" t="s">
        <v>12</v>
      </c>
      <c r="F263" s="5">
        <v>1953876</v>
      </c>
      <c r="G263" s="5">
        <v>1864143</v>
      </c>
      <c r="H263" s="5">
        <v>0</v>
      </c>
      <c r="I263" s="5">
        <v>4899</v>
      </c>
      <c r="J263" s="5">
        <f t="shared" si="4"/>
        <v>3818019</v>
      </c>
    </row>
    <row r="264" spans="2:10" x14ac:dyDescent="0.3">
      <c r="B264" s="4">
        <v>260</v>
      </c>
      <c r="C264" s="5" t="s">
        <v>8</v>
      </c>
      <c r="D264" s="5">
        <v>2015</v>
      </c>
      <c r="E264" s="8" t="s">
        <v>13</v>
      </c>
      <c r="F264" s="5">
        <v>1731873</v>
      </c>
      <c r="G264" s="5">
        <v>1653358</v>
      </c>
      <c r="H264" s="5">
        <v>0</v>
      </c>
      <c r="I264" s="5">
        <v>7843</v>
      </c>
      <c r="J264" s="5">
        <f t="shared" si="4"/>
        <v>3385231</v>
      </c>
    </row>
    <row r="265" spans="2:10" x14ac:dyDescent="0.3">
      <c r="B265" s="4">
        <v>261</v>
      </c>
      <c r="C265" s="5" t="s">
        <v>8</v>
      </c>
      <c r="D265" s="5">
        <v>2015</v>
      </c>
      <c r="E265" s="8" t="s">
        <v>14</v>
      </c>
      <c r="F265" s="5">
        <v>1504340</v>
      </c>
      <c r="G265" s="5">
        <v>1442354</v>
      </c>
      <c r="H265" s="5">
        <v>0</v>
      </c>
      <c r="I265" s="5">
        <v>4567</v>
      </c>
      <c r="J265" s="5">
        <f t="shared" si="4"/>
        <v>2946694</v>
      </c>
    </row>
    <row r="266" spans="2:10" x14ac:dyDescent="0.3">
      <c r="B266" s="4">
        <v>262</v>
      </c>
      <c r="C266" s="5" t="s">
        <v>8</v>
      </c>
      <c r="D266" s="5">
        <v>2015</v>
      </c>
      <c r="E266" s="8" t="s">
        <v>15</v>
      </c>
      <c r="F266" s="5">
        <v>1274314</v>
      </c>
      <c r="G266" s="5">
        <v>1222971</v>
      </c>
      <c r="H266" s="5">
        <v>0</v>
      </c>
      <c r="I266" s="5">
        <v>42090</v>
      </c>
      <c r="J266" s="5">
        <f t="shared" si="4"/>
        <v>2497285</v>
      </c>
    </row>
    <row r="267" spans="2:10" x14ac:dyDescent="0.3">
      <c r="B267" s="4">
        <v>263</v>
      </c>
      <c r="C267" s="5" t="s">
        <v>8</v>
      </c>
      <c r="D267" s="5">
        <v>2015</v>
      </c>
      <c r="E267" s="8" t="s">
        <v>16</v>
      </c>
      <c r="F267" s="5">
        <v>1103759</v>
      </c>
      <c r="G267" s="5">
        <v>1072083</v>
      </c>
      <c r="H267" s="5">
        <v>0</v>
      </c>
      <c r="I267" s="5">
        <v>1593</v>
      </c>
      <c r="J267" s="5">
        <f t="shared" si="4"/>
        <v>2175842</v>
      </c>
    </row>
    <row r="268" spans="2:10" x14ac:dyDescent="0.3">
      <c r="B268" s="4">
        <v>264</v>
      </c>
      <c r="C268" s="5" t="s">
        <v>8</v>
      </c>
      <c r="D268" s="5">
        <v>2015</v>
      </c>
      <c r="E268" s="8" t="s">
        <v>34</v>
      </c>
      <c r="F268" s="5">
        <v>909512</v>
      </c>
      <c r="G268" s="5">
        <v>910083</v>
      </c>
      <c r="H268" s="5">
        <v>0</v>
      </c>
      <c r="I268" s="5">
        <v>4692</v>
      </c>
      <c r="J268" s="5">
        <f t="shared" si="4"/>
        <v>1819595</v>
      </c>
    </row>
    <row r="269" spans="2:10" x14ac:dyDescent="0.3">
      <c r="B269" s="4">
        <v>265</v>
      </c>
      <c r="C269" s="5" t="s">
        <v>8</v>
      </c>
      <c r="D269" s="5">
        <v>2015</v>
      </c>
      <c r="E269" s="8" t="s">
        <v>17</v>
      </c>
      <c r="F269" s="5">
        <v>708284</v>
      </c>
      <c r="G269" s="5">
        <v>747896</v>
      </c>
      <c r="H269" s="5">
        <v>0</v>
      </c>
      <c r="I269" s="5">
        <v>3592</v>
      </c>
      <c r="J269" s="5">
        <f t="shared" si="4"/>
        <v>1456180</v>
      </c>
    </row>
    <row r="270" spans="2:10" x14ac:dyDescent="0.3">
      <c r="B270" s="4">
        <v>266</v>
      </c>
      <c r="C270" s="5" t="s">
        <v>8</v>
      </c>
      <c r="D270" s="5">
        <v>2015</v>
      </c>
      <c r="E270" s="8" t="s">
        <v>18</v>
      </c>
      <c r="F270" s="5">
        <v>454794</v>
      </c>
      <c r="G270" s="5">
        <v>513824</v>
      </c>
      <c r="H270" s="5">
        <v>0</v>
      </c>
      <c r="I270" s="5">
        <v>4567</v>
      </c>
      <c r="J270" s="5">
        <f t="shared" si="4"/>
        <v>968618</v>
      </c>
    </row>
    <row r="271" spans="2:10" x14ac:dyDescent="0.3">
      <c r="B271" s="4">
        <v>267</v>
      </c>
      <c r="C271" s="5" t="s">
        <v>8</v>
      </c>
      <c r="D271" s="5">
        <v>2015</v>
      </c>
      <c r="E271" s="8" t="s">
        <v>19</v>
      </c>
      <c r="F271" s="5">
        <v>334721</v>
      </c>
      <c r="G271" s="5">
        <v>384249</v>
      </c>
      <c r="H271" s="5">
        <v>0</v>
      </c>
      <c r="I271" s="5">
        <v>7654</v>
      </c>
      <c r="J271" s="5">
        <f t="shared" si="4"/>
        <v>718970</v>
      </c>
    </row>
    <row r="272" spans="2:10" x14ac:dyDescent="0.3">
      <c r="B272" s="4">
        <v>268</v>
      </c>
      <c r="C272" s="5" t="s">
        <v>8</v>
      </c>
      <c r="D272" s="5">
        <v>2015</v>
      </c>
      <c r="E272" s="8" t="s">
        <v>20</v>
      </c>
      <c r="F272" s="5">
        <v>325233</v>
      </c>
      <c r="G272" s="5">
        <v>372887</v>
      </c>
      <c r="H272" s="5">
        <v>0</v>
      </c>
      <c r="I272" s="5">
        <v>5986</v>
      </c>
      <c r="J272" s="5">
        <f t="shared" si="4"/>
        <v>698120</v>
      </c>
    </row>
    <row r="273" spans="2:10" x14ac:dyDescent="0.3">
      <c r="B273" s="4">
        <v>269</v>
      </c>
      <c r="C273" s="5" t="s">
        <v>8</v>
      </c>
      <c r="D273" s="5">
        <v>2015</v>
      </c>
      <c r="E273" s="8" t="s">
        <v>21</v>
      </c>
      <c r="F273" s="5">
        <v>191853</v>
      </c>
      <c r="G273" s="5">
        <v>208880</v>
      </c>
      <c r="H273" s="5">
        <v>0</v>
      </c>
      <c r="I273" s="5">
        <v>26008</v>
      </c>
      <c r="J273" s="5">
        <f t="shared" si="4"/>
        <v>400733</v>
      </c>
    </row>
    <row r="274" spans="2:10" x14ac:dyDescent="0.3">
      <c r="B274" s="4">
        <v>270</v>
      </c>
      <c r="C274" s="5" t="s">
        <v>8</v>
      </c>
      <c r="D274" s="5">
        <v>2015</v>
      </c>
      <c r="E274" s="8" t="s">
        <v>22</v>
      </c>
      <c r="F274" s="5">
        <v>152462</v>
      </c>
      <c r="G274" s="5">
        <v>177091</v>
      </c>
      <c r="H274" s="5">
        <v>0</v>
      </c>
      <c r="I274" s="5">
        <v>6980</v>
      </c>
      <c r="J274" s="5">
        <f t="shared" si="4"/>
        <v>329553</v>
      </c>
    </row>
    <row r="275" spans="2:10" x14ac:dyDescent="0.3">
      <c r="B275" s="4">
        <v>271</v>
      </c>
      <c r="C275" s="5" t="s">
        <v>8</v>
      </c>
      <c r="D275" s="5">
        <v>2015</v>
      </c>
      <c r="E275" s="8" t="s">
        <v>23</v>
      </c>
      <c r="F275" s="5">
        <v>91373</v>
      </c>
      <c r="G275" s="5">
        <v>119383</v>
      </c>
      <c r="H275" s="5">
        <v>0</v>
      </c>
      <c r="I275" s="5">
        <v>2457</v>
      </c>
      <c r="J275" s="5">
        <f t="shared" si="4"/>
        <v>210756</v>
      </c>
    </row>
    <row r="276" spans="2:10" x14ac:dyDescent="0.3">
      <c r="B276" s="4">
        <v>272</v>
      </c>
      <c r="C276" s="5" t="s">
        <v>8</v>
      </c>
      <c r="D276" s="5">
        <v>2015</v>
      </c>
      <c r="E276" s="8" t="s">
        <v>24</v>
      </c>
      <c r="F276" s="5">
        <v>63524</v>
      </c>
      <c r="G276" s="5">
        <v>99465</v>
      </c>
      <c r="H276" s="5">
        <v>0</v>
      </c>
      <c r="I276" s="5">
        <v>631</v>
      </c>
      <c r="J276" s="5">
        <f t="shared" si="4"/>
        <v>162989</v>
      </c>
    </row>
    <row r="277" spans="2:10" x14ac:dyDescent="0.3">
      <c r="B277" s="4">
        <v>273</v>
      </c>
      <c r="C277" s="5" t="s">
        <v>8</v>
      </c>
      <c r="D277" s="5">
        <v>2016</v>
      </c>
      <c r="E277" s="8" t="s">
        <v>9</v>
      </c>
      <c r="F277" s="5">
        <v>2770946</v>
      </c>
      <c r="G277" s="5">
        <v>2617785</v>
      </c>
      <c r="H277" s="5">
        <v>702804</v>
      </c>
      <c r="I277" s="5">
        <f>14088+19056</f>
        <v>33144</v>
      </c>
      <c r="J277" s="5">
        <f t="shared" si="4"/>
        <v>5388731</v>
      </c>
    </row>
    <row r="278" spans="2:10" x14ac:dyDescent="0.3">
      <c r="B278" s="4">
        <v>274</v>
      </c>
      <c r="C278" s="5" t="s">
        <v>8</v>
      </c>
      <c r="D278" s="5">
        <v>2016</v>
      </c>
      <c r="E278" s="8" t="s">
        <v>10</v>
      </c>
      <c r="F278" s="5">
        <v>2408116</v>
      </c>
      <c r="G278" s="5">
        <v>2279370</v>
      </c>
      <c r="H278" s="5">
        <v>0</v>
      </c>
      <c r="I278" s="5">
        <v>9256</v>
      </c>
      <c r="J278" s="5">
        <f t="shared" si="4"/>
        <v>4687486</v>
      </c>
    </row>
    <row r="279" spans="2:10" x14ac:dyDescent="0.3">
      <c r="B279" s="4">
        <v>275</v>
      </c>
      <c r="C279" s="5" t="s">
        <v>8</v>
      </c>
      <c r="D279" s="5">
        <v>2016</v>
      </c>
      <c r="E279" s="8" t="s">
        <v>11</v>
      </c>
      <c r="F279" s="5">
        <v>2175733</v>
      </c>
      <c r="G279" s="5">
        <v>2063256</v>
      </c>
      <c r="H279" s="5">
        <v>0</v>
      </c>
      <c r="I279" s="5">
        <v>3900</v>
      </c>
      <c r="J279" s="5">
        <f t="shared" si="4"/>
        <v>4238989</v>
      </c>
    </row>
    <row r="280" spans="2:10" x14ac:dyDescent="0.3">
      <c r="B280" s="4">
        <v>276</v>
      </c>
      <c r="C280" s="5" t="s">
        <v>8</v>
      </c>
      <c r="D280" s="5">
        <v>2016</v>
      </c>
      <c r="E280" s="8" t="s">
        <v>12</v>
      </c>
      <c r="F280" s="5">
        <v>1993872</v>
      </c>
      <c r="G280" s="5">
        <v>1902017</v>
      </c>
      <c r="H280" s="5">
        <v>0</v>
      </c>
      <c r="I280" s="5">
        <v>4899</v>
      </c>
      <c r="J280" s="5">
        <f t="shared" si="4"/>
        <v>3895889</v>
      </c>
    </row>
    <row r="281" spans="2:10" x14ac:dyDescent="0.3">
      <c r="B281" s="4">
        <v>277</v>
      </c>
      <c r="C281" s="5" t="s">
        <v>8</v>
      </c>
      <c r="D281" s="5">
        <v>2016</v>
      </c>
      <c r="E281" s="8" t="s">
        <v>13</v>
      </c>
      <c r="F281" s="5">
        <v>1778046</v>
      </c>
      <c r="G281" s="5">
        <v>1698359</v>
      </c>
      <c r="H281" s="5">
        <v>0</v>
      </c>
      <c r="I281" s="5">
        <v>7843</v>
      </c>
      <c r="J281" s="5">
        <f t="shared" si="4"/>
        <v>3476405</v>
      </c>
    </row>
    <row r="282" spans="2:10" x14ac:dyDescent="0.3">
      <c r="B282" s="4">
        <v>278</v>
      </c>
      <c r="C282" s="5" t="s">
        <v>8</v>
      </c>
      <c r="D282" s="5">
        <v>2016</v>
      </c>
      <c r="E282" s="8" t="s">
        <v>14</v>
      </c>
      <c r="F282" s="5">
        <v>1551154</v>
      </c>
      <c r="G282" s="5">
        <v>1487201</v>
      </c>
      <c r="H282" s="5">
        <v>0</v>
      </c>
      <c r="I282" s="5">
        <v>34567</v>
      </c>
      <c r="J282" s="5">
        <f t="shared" si="4"/>
        <v>3038355</v>
      </c>
    </row>
    <row r="283" spans="2:10" x14ac:dyDescent="0.3">
      <c r="B283" s="4">
        <v>279</v>
      </c>
      <c r="C283" s="5" t="s">
        <v>8</v>
      </c>
      <c r="D283" s="5">
        <v>2016</v>
      </c>
      <c r="E283" s="8" t="s">
        <v>15</v>
      </c>
      <c r="F283" s="5">
        <v>1315675</v>
      </c>
      <c r="G283" s="5">
        <v>1262575</v>
      </c>
      <c r="H283" s="5">
        <v>0</v>
      </c>
      <c r="I283" s="5">
        <v>42090</v>
      </c>
      <c r="J283" s="5">
        <f t="shared" si="4"/>
        <v>2578250</v>
      </c>
    </row>
    <row r="284" spans="2:10" x14ac:dyDescent="0.3">
      <c r="B284" s="4">
        <v>280</v>
      </c>
      <c r="C284" s="5" t="s">
        <v>8</v>
      </c>
      <c r="D284" s="5">
        <v>2016</v>
      </c>
      <c r="E284" s="8" t="s">
        <v>16</v>
      </c>
      <c r="F284" s="5">
        <v>1137279</v>
      </c>
      <c r="G284" s="5">
        <v>1101438</v>
      </c>
      <c r="H284" s="5">
        <v>0</v>
      </c>
      <c r="I284" s="5">
        <v>1593</v>
      </c>
      <c r="J284" s="5">
        <f t="shared" si="4"/>
        <v>2238717</v>
      </c>
    </row>
    <row r="285" spans="2:10" x14ac:dyDescent="0.3">
      <c r="B285" s="4">
        <v>281</v>
      </c>
      <c r="C285" s="5" t="s">
        <v>8</v>
      </c>
      <c r="D285" s="5">
        <v>2016</v>
      </c>
      <c r="E285" s="8" t="s">
        <v>34</v>
      </c>
      <c r="F285" s="5">
        <v>946827</v>
      </c>
      <c r="G285" s="5">
        <v>941019</v>
      </c>
      <c r="H285" s="5">
        <v>0</v>
      </c>
      <c r="I285" s="5">
        <v>4692</v>
      </c>
      <c r="J285" s="5">
        <f t="shared" si="4"/>
        <v>1887846</v>
      </c>
    </row>
    <row r="286" spans="2:10" x14ac:dyDescent="0.3">
      <c r="B286" s="4">
        <v>282</v>
      </c>
      <c r="C286" s="5" t="s">
        <v>8</v>
      </c>
      <c r="D286" s="5">
        <v>2016</v>
      </c>
      <c r="E286" s="8" t="s">
        <v>17</v>
      </c>
      <c r="F286" s="5">
        <v>750770</v>
      </c>
      <c r="G286" s="5">
        <v>784897</v>
      </c>
      <c r="H286" s="5">
        <v>0</v>
      </c>
      <c r="I286" s="5">
        <v>3592</v>
      </c>
      <c r="J286" s="5">
        <f t="shared" si="4"/>
        <v>1535667</v>
      </c>
    </row>
    <row r="287" spans="2:10" x14ac:dyDescent="0.3">
      <c r="B287" s="4">
        <v>283</v>
      </c>
      <c r="C287" s="5" t="s">
        <v>8</v>
      </c>
      <c r="D287" s="5">
        <v>2016</v>
      </c>
      <c r="E287" s="8" t="s">
        <v>18</v>
      </c>
      <c r="F287" s="5">
        <v>494445</v>
      </c>
      <c r="G287" s="5">
        <v>553678</v>
      </c>
      <c r="H287" s="5">
        <v>0</v>
      </c>
      <c r="I287" s="5">
        <v>4567</v>
      </c>
      <c r="J287" s="5">
        <f t="shared" si="4"/>
        <v>1048123</v>
      </c>
    </row>
    <row r="288" spans="2:10" x14ac:dyDescent="0.3">
      <c r="B288" s="4">
        <v>284</v>
      </c>
      <c r="C288" s="5" t="s">
        <v>8</v>
      </c>
      <c r="D288" s="5">
        <v>2016</v>
      </c>
      <c r="E288" s="8" t="s">
        <v>19</v>
      </c>
      <c r="F288" s="5">
        <v>341392</v>
      </c>
      <c r="G288" s="5">
        <v>394089</v>
      </c>
      <c r="H288" s="5">
        <v>0</v>
      </c>
      <c r="I288" s="5">
        <v>7654</v>
      </c>
      <c r="J288" s="5">
        <f t="shared" si="4"/>
        <v>735481</v>
      </c>
    </row>
    <row r="289" spans="2:10" x14ac:dyDescent="0.3">
      <c r="B289" s="4">
        <v>285</v>
      </c>
      <c r="C289" s="5" t="s">
        <v>8</v>
      </c>
      <c r="D289" s="5">
        <v>2016</v>
      </c>
      <c r="E289" s="8" t="s">
        <v>20</v>
      </c>
      <c r="F289" s="5">
        <v>327365</v>
      </c>
      <c r="G289" s="5">
        <v>379753</v>
      </c>
      <c r="H289" s="5">
        <v>0</v>
      </c>
      <c r="I289" s="5">
        <v>5986</v>
      </c>
      <c r="J289" s="5">
        <f t="shared" si="4"/>
        <v>707118</v>
      </c>
    </row>
    <row r="290" spans="2:10" x14ac:dyDescent="0.3">
      <c r="B290" s="4">
        <v>286</v>
      </c>
      <c r="C290" s="5" t="s">
        <v>8</v>
      </c>
      <c r="D290" s="5">
        <v>2016</v>
      </c>
      <c r="E290" s="8" t="s">
        <v>21</v>
      </c>
      <c r="F290" s="5">
        <v>207086</v>
      </c>
      <c r="G290" s="5">
        <v>229818</v>
      </c>
      <c r="H290" s="5">
        <v>0</v>
      </c>
      <c r="I290" s="5">
        <v>26008</v>
      </c>
      <c r="J290" s="5">
        <f t="shared" si="4"/>
        <v>436904</v>
      </c>
    </row>
    <row r="291" spans="2:10" x14ac:dyDescent="0.3">
      <c r="B291" s="4">
        <v>287</v>
      </c>
      <c r="C291" s="5" t="s">
        <v>8</v>
      </c>
      <c r="D291" s="5">
        <v>2016</v>
      </c>
      <c r="E291" s="8" t="s">
        <v>22</v>
      </c>
      <c r="F291" s="5">
        <v>151097</v>
      </c>
      <c r="G291" s="5">
        <v>174476</v>
      </c>
      <c r="H291" s="5">
        <v>0</v>
      </c>
      <c r="I291" s="5">
        <v>6980</v>
      </c>
      <c r="J291" s="5">
        <f t="shared" si="4"/>
        <v>325573</v>
      </c>
    </row>
    <row r="292" spans="2:10" x14ac:dyDescent="0.3">
      <c r="B292" s="4">
        <v>288</v>
      </c>
      <c r="C292" s="5" t="s">
        <v>8</v>
      </c>
      <c r="D292" s="5">
        <v>2016</v>
      </c>
      <c r="E292" s="8" t="s">
        <v>23</v>
      </c>
      <c r="F292" s="5">
        <v>95240</v>
      </c>
      <c r="G292" s="5">
        <v>122853</v>
      </c>
      <c r="H292" s="5">
        <v>0</v>
      </c>
      <c r="I292" s="5">
        <v>2457</v>
      </c>
      <c r="J292" s="5">
        <f t="shared" si="4"/>
        <v>218093</v>
      </c>
    </row>
    <row r="293" spans="2:10" x14ac:dyDescent="0.3">
      <c r="B293" s="4">
        <v>289</v>
      </c>
      <c r="C293" s="5" t="s">
        <v>8</v>
      </c>
      <c r="D293" s="5">
        <v>2016</v>
      </c>
      <c r="E293" s="8" t="s">
        <v>24</v>
      </c>
      <c r="F293" s="5">
        <v>67922</v>
      </c>
      <c r="G293" s="5">
        <v>105083</v>
      </c>
      <c r="H293" s="5">
        <v>0</v>
      </c>
      <c r="I293" s="5">
        <f>631-123</f>
        <v>508</v>
      </c>
      <c r="J293" s="5">
        <f t="shared" si="4"/>
        <v>173005</v>
      </c>
    </row>
    <row r="294" spans="2:10" x14ac:dyDescent="0.3">
      <c r="B294" s="4">
        <v>290</v>
      </c>
      <c r="C294" s="5" t="s">
        <v>8</v>
      </c>
      <c r="D294" s="5">
        <v>2017</v>
      </c>
      <c r="E294" s="8" t="s">
        <v>9</v>
      </c>
      <c r="F294" s="5">
        <v>2792143</v>
      </c>
      <c r="G294" s="5">
        <v>2637076</v>
      </c>
      <c r="H294" s="5">
        <v>704050</v>
      </c>
      <c r="I294" s="5">
        <f>44+19056</f>
        <v>19100</v>
      </c>
      <c r="J294" s="5">
        <f t="shared" si="4"/>
        <v>5429219</v>
      </c>
    </row>
    <row r="295" spans="2:10" x14ac:dyDescent="0.3">
      <c r="B295" s="4">
        <v>291</v>
      </c>
      <c r="C295" s="5" t="s">
        <v>8</v>
      </c>
      <c r="D295" s="5">
        <v>2017</v>
      </c>
      <c r="E295" s="8" t="s">
        <v>10</v>
      </c>
      <c r="F295" s="5">
        <v>2476653</v>
      </c>
      <c r="G295" s="5">
        <v>2343931</v>
      </c>
      <c r="H295" s="5">
        <v>0</v>
      </c>
      <c r="I295" s="5">
        <v>9256</v>
      </c>
      <c r="J295" s="5">
        <f t="shared" si="4"/>
        <v>4820584</v>
      </c>
    </row>
    <row r="296" spans="2:10" x14ac:dyDescent="0.3">
      <c r="B296" s="4">
        <v>292</v>
      </c>
      <c r="C296" s="5" t="s">
        <v>8</v>
      </c>
      <c r="D296" s="5">
        <v>2017</v>
      </c>
      <c r="E296" s="8" t="s">
        <v>11</v>
      </c>
      <c r="F296" s="5">
        <v>2213065</v>
      </c>
      <c r="G296" s="5">
        <v>2098010</v>
      </c>
      <c r="H296" s="5">
        <v>0</v>
      </c>
      <c r="I296" s="5">
        <v>3900</v>
      </c>
      <c r="J296" s="5">
        <f t="shared" si="4"/>
        <v>4311075</v>
      </c>
    </row>
    <row r="297" spans="2:10" x14ac:dyDescent="0.3">
      <c r="B297" s="4">
        <v>293</v>
      </c>
      <c r="C297" s="5" t="s">
        <v>8</v>
      </c>
      <c r="D297" s="5">
        <v>2017</v>
      </c>
      <c r="E297" s="8" t="s">
        <v>12</v>
      </c>
      <c r="F297" s="5">
        <v>2030266</v>
      </c>
      <c r="G297" s="5">
        <v>1935277</v>
      </c>
      <c r="H297" s="5">
        <v>0</v>
      </c>
      <c r="I297" s="5">
        <v>4899</v>
      </c>
      <c r="J297" s="5">
        <f t="shared" si="4"/>
        <v>3965543</v>
      </c>
    </row>
    <row r="298" spans="2:10" x14ac:dyDescent="0.3">
      <c r="B298" s="4">
        <v>294</v>
      </c>
      <c r="C298" s="5" t="s">
        <v>8</v>
      </c>
      <c r="D298" s="5">
        <v>2017</v>
      </c>
      <c r="E298" s="8" t="s">
        <v>13</v>
      </c>
      <c r="F298" s="5">
        <v>1822729</v>
      </c>
      <c r="G298" s="5">
        <v>1742413</v>
      </c>
      <c r="H298" s="5">
        <v>0</v>
      </c>
      <c r="I298" s="5">
        <v>7843</v>
      </c>
      <c r="J298" s="5">
        <f t="shared" si="4"/>
        <v>3565142</v>
      </c>
    </row>
    <row r="299" spans="2:10" x14ac:dyDescent="0.3">
      <c r="B299" s="4">
        <v>295</v>
      </c>
      <c r="C299" s="5" t="s">
        <v>8</v>
      </c>
      <c r="D299" s="5">
        <v>2017</v>
      </c>
      <c r="E299" s="8" t="s">
        <v>14</v>
      </c>
      <c r="F299" s="5">
        <v>1595396</v>
      </c>
      <c r="G299" s="5">
        <v>1529014</v>
      </c>
      <c r="H299" s="5">
        <v>0</v>
      </c>
      <c r="I299" s="5">
        <v>34567</v>
      </c>
      <c r="J299" s="5">
        <f t="shared" si="4"/>
        <v>3124410</v>
      </c>
    </row>
    <row r="300" spans="2:10" x14ac:dyDescent="0.3">
      <c r="B300" s="4">
        <v>296</v>
      </c>
      <c r="C300" s="5" t="s">
        <v>8</v>
      </c>
      <c r="D300" s="5">
        <v>2017</v>
      </c>
      <c r="E300" s="8" t="s">
        <v>15</v>
      </c>
      <c r="F300" s="5">
        <v>1359605</v>
      </c>
      <c r="G300" s="5">
        <v>1305210</v>
      </c>
      <c r="H300" s="5">
        <v>0</v>
      </c>
      <c r="I300" s="5">
        <v>42090</v>
      </c>
      <c r="J300" s="5">
        <f t="shared" si="4"/>
        <v>2664815</v>
      </c>
    </row>
    <row r="301" spans="2:10" x14ac:dyDescent="0.3">
      <c r="B301" s="4">
        <v>297</v>
      </c>
      <c r="C301" s="5" t="s">
        <v>8</v>
      </c>
      <c r="D301" s="5">
        <v>2017</v>
      </c>
      <c r="E301" s="8" t="s">
        <v>16</v>
      </c>
      <c r="F301" s="5">
        <v>1167817</v>
      </c>
      <c r="G301" s="5">
        <v>1128200</v>
      </c>
      <c r="H301" s="5">
        <v>0</v>
      </c>
      <c r="I301" s="5">
        <v>1593</v>
      </c>
      <c r="J301" s="5">
        <f t="shared" si="4"/>
        <v>2296017</v>
      </c>
    </row>
    <row r="302" spans="2:10" x14ac:dyDescent="0.3">
      <c r="B302" s="4">
        <v>298</v>
      </c>
      <c r="C302" s="5" t="s">
        <v>8</v>
      </c>
      <c r="D302" s="5">
        <v>2017</v>
      </c>
      <c r="E302" s="8" t="s">
        <v>34</v>
      </c>
      <c r="F302" s="5">
        <v>984345</v>
      </c>
      <c r="G302" s="5">
        <v>972455</v>
      </c>
      <c r="H302" s="5">
        <v>0</v>
      </c>
      <c r="I302" s="5">
        <v>4692</v>
      </c>
      <c r="J302" s="5">
        <f t="shared" si="4"/>
        <v>1956800</v>
      </c>
    </row>
    <row r="303" spans="2:10" x14ac:dyDescent="0.3">
      <c r="B303" s="4">
        <v>299</v>
      </c>
      <c r="C303" s="5" t="s">
        <v>8</v>
      </c>
      <c r="D303" s="5">
        <v>2017</v>
      </c>
      <c r="E303" s="8" t="s">
        <v>17</v>
      </c>
      <c r="F303" s="5">
        <v>788292</v>
      </c>
      <c r="G303" s="5">
        <v>815856</v>
      </c>
      <c r="H303" s="5">
        <v>0</v>
      </c>
      <c r="I303" s="5">
        <v>3592</v>
      </c>
      <c r="J303" s="5">
        <f t="shared" si="4"/>
        <v>1604148</v>
      </c>
    </row>
    <row r="304" spans="2:10" x14ac:dyDescent="0.3">
      <c r="B304" s="4">
        <v>300</v>
      </c>
      <c r="C304" s="5" t="s">
        <v>8</v>
      </c>
      <c r="D304" s="5">
        <v>2017</v>
      </c>
      <c r="E304" s="8" t="s">
        <v>18</v>
      </c>
      <c r="F304" s="5">
        <v>540980</v>
      </c>
      <c r="G304" s="5">
        <v>598800</v>
      </c>
      <c r="H304" s="5">
        <v>0</v>
      </c>
      <c r="I304" s="5">
        <v>4567</v>
      </c>
      <c r="J304" s="5">
        <f t="shared" si="4"/>
        <v>1139780</v>
      </c>
    </row>
    <row r="305" spans="2:10" x14ac:dyDescent="0.3">
      <c r="B305" s="4">
        <v>301</v>
      </c>
      <c r="C305" s="5" t="s">
        <v>8</v>
      </c>
      <c r="D305" s="5">
        <v>2017</v>
      </c>
      <c r="E305" s="8" t="s">
        <v>19</v>
      </c>
      <c r="F305" s="5">
        <v>354142</v>
      </c>
      <c r="G305" s="5">
        <v>410862</v>
      </c>
      <c r="H305" s="5">
        <v>0</v>
      </c>
      <c r="I305" s="5">
        <v>7654</v>
      </c>
      <c r="J305" s="5">
        <f t="shared" si="4"/>
        <v>765004</v>
      </c>
    </row>
    <row r="306" spans="2:10" x14ac:dyDescent="0.3">
      <c r="B306" s="4">
        <v>302</v>
      </c>
      <c r="C306" s="5" t="s">
        <v>8</v>
      </c>
      <c r="D306" s="5">
        <v>2017</v>
      </c>
      <c r="E306" s="8" t="s">
        <v>20</v>
      </c>
      <c r="F306" s="5">
        <v>321138</v>
      </c>
      <c r="G306" s="5">
        <v>375643</v>
      </c>
      <c r="H306" s="5">
        <v>0</v>
      </c>
      <c r="I306" s="5">
        <v>5986</v>
      </c>
      <c r="J306" s="5">
        <f t="shared" si="4"/>
        <v>696781</v>
      </c>
    </row>
    <row r="307" spans="2:10" x14ac:dyDescent="0.3">
      <c r="B307" s="4">
        <v>303</v>
      </c>
      <c r="C307" s="5" t="s">
        <v>8</v>
      </c>
      <c r="D307" s="5">
        <v>2017</v>
      </c>
      <c r="E307" s="8" t="s">
        <v>21</v>
      </c>
      <c r="F307" s="5">
        <v>229520</v>
      </c>
      <c r="G307" s="5">
        <v>260862</v>
      </c>
      <c r="H307" s="5">
        <v>0</v>
      </c>
      <c r="I307" s="5">
        <v>26008</v>
      </c>
      <c r="J307" s="5">
        <f t="shared" si="4"/>
        <v>490382</v>
      </c>
    </row>
    <row r="308" spans="2:10" x14ac:dyDescent="0.3">
      <c r="B308" s="4">
        <v>304</v>
      </c>
      <c r="C308" s="5" t="s">
        <v>8</v>
      </c>
      <c r="D308" s="5">
        <v>2017</v>
      </c>
      <c r="E308" s="8" t="s">
        <v>22</v>
      </c>
      <c r="F308" s="5">
        <v>147053</v>
      </c>
      <c r="G308" s="5">
        <v>168766</v>
      </c>
      <c r="H308" s="5">
        <v>0</v>
      </c>
      <c r="I308" s="5">
        <v>6980</v>
      </c>
      <c r="J308" s="5">
        <f t="shared" si="4"/>
        <v>315819</v>
      </c>
    </row>
    <row r="309" spans="2:10" x14ac:dyDescent="0.3">
      <c r="B309" s="4">
        <v>305</v>
      </c>
      <c r="C309" s="5" t="s">
        <v>8</v>
      </c>
      <c r="D309" s="5">
        <v>2017</v>
      </c>
      <c r="E309" s="8" t="s">
        <v>23</v>
      </c>
      <c r="F309" s="5">
        <v>99679</v>
      </c>
      <c r="G309" s="5">
        <v>127190</v>
      </c>
      <c r="H309" s="5">
        <v>0</v>
      </c>
      <c r="I309" s="5">
        <v>2457</v>
      </c>
      <c r="J309" s="5">
        <f t="shared" si="4"/>
        <v>226869</v>
      </c>
    </row>
    <row r="310" spans="2:10" x14ac:dyDescent="0.3">
      <c r="B310" s="4">
        <v>306</v>
      </c>
      <c r="C310" s="5" t="s">
        <v>8</v>
      </c>
      <c r="D310" s="5">
        <v>2017</v>
      </c>
      <c r="E310" s="8" t="s">
        <v>24</v>
      </c>
      <c r="F310" s="5">
        <v>71111</v>
      </c>
      <c r="G310" s="5">
        <v>109286</v>
      </c>
      <c r="H310" s="5">
        <v>0</v>
      </c>
      <c r="I310" s="5">
        <f>631-241</f>
        <v>390</v>
      </c>
      <c r="J310" s="5">
        <f t="shared" si="4"/>
        <v>180397</v>
      </c>
    </row>
    <row r="311" spans="2:10" x14ac:dyDescent="0.3">
      <c r="B311" s="4">
        <v>307</v>
      </c>
      <c r="C311" s="5" t="s">
        <v>8</v>
      </c>
      <c r="D311" s="5">
        <v>2018</v>
      </c>
      <c r="E311" s="8" t="s">
        <v>9</v>
      </c>
      <c r="F311" s="5">
        <v>2779840</v>
      </c>
      <c r="G311" s="5">
        <v>2624557</v>
      </c>
      <c r="H311" s="5">
        <v>708829</v>
      </c>
      <c r="I311" s="5">
        <f>2124+19056</f>
        <v>21180</v>
      </c>
      <c r="J311" s="5">
        <f t="shared" si="4"/>
        <v>5404397</v>
      </c>
    </row>
    <row r="312" spans="2:10" x14ac:dyDescent="0.3">
      <c r="B312" s="4">
        <v>308</v>
      </c>
      <c r="C312" s="5" t="s">
        <v>8</v>
      </c>
      <c r="D312" s="5">
        <v>2018</v>
      </c>
      <c r="E312" s="8" t="s">
        <v>10</v>
      </c>
      <c r="F312" s="5">
        <v>2552064</v>
      </c>
      <c r="G312" s="5">
        <v>2414881</v>
      </c>
      <c r="H312" s="5">
        <v>0</v>
      </c>
      <c r="I312" s="5">
        <v>9256</v>
      </c>
      <c r="J312" s="5">
        <f t="shared" si="4"/>
        <v>4966945</v>
      </c>
    </row>
    <row r="313" spans="2:10" x14ac:dyDescent="0.3">
      <c r="B313" s="4">
        <v>309</v>
      </c>
      <c r="C313" s="5" t="s">
        <v>8</v>
      </c>
      <c r="D313" s="5">
        <v>2018</v>
      </c>
      <c r="E313" s="8" t="s">
        <v>11</v>
      </c>
      <c r="F313" s="5">
        <v>2249714</v>
      </c>
      <c r="G313" s="5">
        <v>2132280</v>
      </c>
      <c r="H313" s="5">
        <v>0</v>
      </c>
      <c r="I313" s="5">
        <v>3900</v>
      </c>
      <c r="J313" s="5">
        <f t="shared" si="4"/>
        <v>4381994</v>
      </c>
    </row>
    <row r="314" spans="2:10" x14ac:dyDescent="0.3">
      <c r="B314" s="4">
        <v>310</v>
      </c>
      <c r="C314" s="5" t="s">
        <v>8</v>
      </c>
      <c r="D314" s="5">
        <v>2018</v>
      </c>
      <c r="E314" s="8" t="s">
        <v>12</v>
      </c>
      <c r="F314" s="5">
        <v>2064014</v>
      </c>
      <c r="G314" s="5">
        <v>1965204</v>
      </c>
      <c r="H314" s="5">
        <v>0</v>
      </c>
      <c r="I314" s="5">
        <v>4899</v>
      </c>
      <c r="J314" s="5">
        <f t="shared" si="4"/>
        <v>4029218</v>
      </c>
    </row>
    <row r="315" spans="2:10" x14ac:dyDescent="0.3">
      <c r="B315" s="4">
        <v>311</v>
      </c>
      <c r="C315" s="5" t="s">
        <v>8</v>
      </c>
      <c r="D315" s="5">
        <v>2018</v>
      </c>
      <c r="E315" s="8" t="s">
        <v>13</v>
      </c>
      <c r="F315" s="5">
        <v>1865296</v>
      </c>
      <c r="G315" s="5">
        <v>1784571</v>
      </c>
      <c r="H315" s="5">
        <v>0</v>
      </c>
      <c r="I315" s="5">
        <v>7843</v>
      </c>
      <c r="J315" s="5">
        <f t="shared" si="4"/>
        <v>3649867</v>
      </c>
    </row>
    <row r="316" spans="2:10" x14ac:dyDescent="0.3">
      <c r="B316" s="4">
        <v>312</v>
      </c>
      <c r="C316" s="5" t="s">
        <v>8</v>
      </c>
      <c r="D316" s="5">
        <v>2018</v>
      </c>
      <c r="E316" s="8" t="s">
        <v>14</v>
      </c>
      <c r="F316" s="5">
        <v>1637486</v>
      </c>
      <c r="G316" s="5">
        <v>1568583</v>
      </c>
      <c r="H316" s="5">
        <v>0</v>
      </c>
      <c r="I316" s="5">
        <v>34567</v>
      </c>
      <c r="J316" s="5">
        <f t="shared" si="4"/>
        <v>3206069</v>
      </c>
    </row>
    <row r="317" spans="2:10" x14ac:dyDescent="0.3">
      <c r="B317" s="4">
        <v>313</v>
      </c>
      <c r="C317" s="5" t="s">
        <v>8</v>
      </c>
      <c r="D317" s="5">
        <v>2018</v>
      </c>
      <c r="E317" s="8" t="s">
        <v>15</v>
      </c>
      <c r="F317" s="5">
        <v>1404901</v>
      </c>
      <c r="G317" s="5">
        <v>1349473</v>
      </c>
      <c r="H317" s="5">
        <v>0</v>
      </c>
      <c r="I317" s="5">
        <v>42090</v>
      </c>
      <c r="J317" s="5">
        <f t="shared" si="4"/>
        <v>2754374</v>
      </c>
    </row>
    <row r="318" spans="2:10" x14ac:dyDescent="0.3">
      <c r="B318" s="4">
        <v>314</v>
      </c>
      <c r="C318" s="5" t="s">
        <v>8</v>
      </c>
      <c r="D318" s="5">
        <v>2018</v>
      </c>
      <c r="E318" s="8" t="s">
        <v>16</v>
      </c>
      <c r="F318" s="5">
        <v>1197104</v>
      </c>
      <c r="G318" s="5">
        <v>1154177</v>
      </c>
      <c r="H318" s="5">
        <v>0</v>
      </c>
      <c r="I318" s="5">
        <v>1593</v>
      </c>
      <c r="J318" s="5">
        <f t="shared" si="4"/>
        <v>2351281</v>
      </c>
    </row>
    <row r="319" spans="2:10" x14ac:dyDescent="0.3">
      <c r="B319" s="4">
        <v>315</v>
      </c>
      <c r="C319" s="5" t="s">
        <v>8</v>
      </c>
      <c r="D319" s="5">
        <v>2018</v>
      </c>
      <c r="E319" s="8" t="s">
        <v>34</v>
      </c>
      <c r="F319" s="5">
        <v>1021262</v>
      </c>
      <c r="G319" s="5">
        <v>1003676</v>
      </c>
      <c r="H319" s="5">
        <v>0</v>
      </c>
      <c r="I319" s="5">
        <v>4692</v>
      </c>
      <c r="J319" s="5">
        <f t="shared" si="4"/>
        <v>2024938</v>
      </c>
    </row>
    <row r="320" spans="2:10" x14ac:dyDescent="0.3">
      <c r="B320" s="4">
        <v>316</v>
      </c>
      <c r="C320" s="5" t="s">
        <v>8</v>
      </c>
      <c r="D320" s="5">
        <v>2018</v>
      </c>
      <c r="E320" s="8" t="s">
        <v>17</v>
      </c>
      <c r="F320" s="5">
        <v>822367</v>
      </c>
      <c r="G320" s="5">
        <v>842677</v>
      </c>
      <c r="H320" s="5">
        <v>0</v>
      </c>
      <c r="I320" s="5">
        <v>3592</v>
      </c>
      <c r="J320" s="5">
        <f t="shared" si="4"/>
        <v>1665044</v>
      </c>
    </row>
    <row r="321" spans="2:10" x14ac:dyDescent="0.3">
      <c r="B321" s="4">
        <v>317</v>
      </c>
      <c r="C321" s="5" t="s">
        <v>8</v>
      </c>
      <c r="D321" s="5">
        <v>2018</v>
      </c>
      <c r="E321" s="8" t="s">
        <v>18</v>
      </c>
      <c r="F321" s="5">
        <v>591081</v>
      </c>
      <c r="G321" s="5">
        <v>646056</v>
      </c>
      <c r="H321" s="5">
        <v>0</v>
      </c>
      <c r="I321" s="5">
        <v>4567</v>
      </c>
      <c r="J321" s="5">
        <f t="shared" si="4"/>
        <v>1237137</v>
      </c>
    </row>
    <row r="322" spans="2:10" x14ac:dyDescent="0.3">
      <c r="B322" s="4">
        <v>318</v>
      </c>
      <c r="C322" s="5" t="s">
        <v>8</v>
      </c>
      <c r="D322" s="5">
        <v>2018</v>
      </c>
      <c r="E322" s="8" t="s">
        <v>19</v>
      </c>
      <c r="F322" s="5">
        <v>373156</v>
      </c>
      <c r="G322" s="5">
        <v>434080</v>
      </c>
      <c r="H322" s="5">
        <v>0</v>
      </c>
      <c r="I322" s="5">
        <v>7654</v>
      </c>
      <c r="J322" s="5">
        <f t="shared" si="4"/>
        <v>807236</v>
      </c>
    </row>
    <row r="323" spans="2:10" x14ac:dyDescent="0.3">
      <c r="B323" s="4">
        <v>319</v>
      </c>
      <c r="C323" s="5" t="s">
        <v>8</v>
      </c>
      <c r="D323" s="5">
        <v>2018</v>
      </c>
      <c r="E323" s="8" t="s">
        <v>20</v>
      </c>
      <c r="F323" s="5">
        <v>311402</v>
      </c>
      <c r="G323" s="5">
        <v>366321</v>
      </c>
      <c r="H323" s="5">
        <v>0</v>
      </c>
      <c r="I323" s="5">
        <v>5986</v>
      </c>
      <c r="J323" s="5">
        <f t="shared" si="4"/>
        <v>677723</v>
      </c>
    </row>
    <row r="324" spans="2:10" x14ac:dyDescent="0.3">
      <c r="B324" s="4">
        <v>320</v>
      </c>
      <c r="C324" s="5" t="s">
        <v>8</v>
      </c>
      <c r="D324" s="5">
        <v>2018</v>
      </c>
      <c r="E324" s="8" t="s">
        <v>21</v>
      </c>
      <c r="F324" s="5">
        <v>253887</v>
      </c>
      <c r="G324" s="5">
        <v>295306</v>
      </c>
      <c r="H324" s="5">
        <v>0</v>
      </c>
      <c r="I324" s="5">
        <v>26008</v>
      </c>
      <c r="J324" s="5">
        <f t="shared" si="4"/>
        <v>549193</v>
      </c>
    </row>
    <row r="325" spans="2:10" x14ac:dyDescent="0.3">
      <c r="B325" s="4">
        <v>321</v>
      </c>
      <c r="C325" s="5" t="s">
        <v>8</v>
      </c>
      <c r="D325" s="5">
        <v>2018</v>
      </c>
      <c r="E325" s="8" t="s">
        <v>22</v>
      </c>
      <c r="F325" s="5">
        <v>143612</v>
      </c>
      <c r="G325" s="5">
        <v>164111</v>
      </c>
      <c r="H325" s="5">
        <v>0</v>
      </c>
      <c r="I325" s="5">
        <v>6980</v>
      </c>
      <c r="J325" s="5">
        <f t="shared" ref="J325:J388" si="5">SUM(F325:G325)</f>
        <v>307723</v>
      </c>
    </row>
    <row r="326" spans="2:10" x14ac:dyDescent="0.3">
      <c r="B326" s="4">
        <v>322</v>
      </c>
      <c r="C326" s="5" t="s">
        <v>8</v>
      </c>
      <c r="D326" s="5">
        <v>2018</v>
      </c>
      <c r="E326" s="8" t="s">
        <v>23</v>
      </c>
      <c r="F326" s="5">
        <v>103787</v>
      </c>
      <c r="G326" s="5">
        <v>131491</v>
      </c>
      <c r="H326" s="5">
        <v>0</v>
      </c>
      <c r="I326" s="5">
        <v>2457</v>
      </c>
      <c r="J326" s="5">
        <f t="shared" si="5"/>
        <v>235278</v>
      </c>
    </row>
    <row r="327" spans="2:10" x14ac:dyDescent="0.3">
      <c r="B327" s="4">
        <v>323</v>
      </c>
      <c r="C327" s="5" t="s">
        <v>8</v>
      </c>
      <c r="D327" s="5">
        <v>2018</v>
      </c>
      <c r="E327" s="8" t="s">
        <v>24</v>
      </c>
      <c r="F327" s="5">
        <v>73094</v>
      </c>
      <c r="G327" s="5">
        <v>112093</v>
      </c>
      <c r="H327" s="5">
        <v>0</v>
      </c>
      <c r="I327" s="5">
        <f>631-141</f>
        <v>490</v>
      </c>
      <c r="J327" s="5">
        <f t="shared" si="5"/>
        <v>185187</v>
      </c>
    </row>
    <row r="328" spans="2:10" x14ac:dyDescent="0.3">
      <c r="B328" s="4">
        <v>324</v>
      </c>
      <c r="C328" s="5" t="s">
        <v>8</v>
      </c>
      <c r="D328" s="5">
        <v>2019</v>
      </c>
      <c r="E328" s="8" t="s">
        <v>9</v>
      </c>
      <c r="F328" s="5">
        <v>2764553</v>
      </c>
      <c r="G328" s="5">
        <v>2609385</v>
      </c>
      <c r="H328" s="5">
        <v>719132</v>
      </c>
      <c r="I328" s="5">
        <f>19056+20706</f>
        <v>39762</v>
      </c>
      <c r="J328" s="5">
        <f t="shared" si="5"/>
        <v>5373938</v>
      </c>
    </row>
    <row r="329" spans="2:10" x14ac:dyDescent="0.3">
      <c r="B329" s="4">
        <v>325</v>
      </c>
      <c r="C329" s="5" t="s">
        <v>8</v>
      </c>
      <c r="D329" s="5">
        <v>2019</v>
      </c>
      <c r="E329" s="8" t="s">
        <v>10</v>
      </c>
      <c r="F329" s="5">
        <v>2626356</v>
      </c>
      <c r="G329" s="5">
        <v>2484818</v>
      </c>
      <c r="H329" s="5">
        <v>0</v>
      </c>
      <c r="I329" s="5">
        <v>9256</v>
      </c>
      <c r="J329" s="5">
        <f t="shared" si="5"/>
        <v>5111174</v>
      </c>
    </row>
    <row r="330" spans="2:10" x14ac:dyDescent="0.3">
      <c r="B330" s="4">
        <v>326</v>
      </c>
      <c r="C330" s="5" t="s">
        <v>8</v>
      </c>
      <c r="D330" s="5">
        <v>2019</v>
      </c>
      <c r="E330" s="8" t="s">
        <v>11</v>
      </c>
      <c r="F330" s="5">
        <v>2290378</v>
      </c>
      <c r="G330" s="5">
        <v>2170453</v>
      </c>
      <c r="H330" s="5">
        <v>0</v>
      </c>
      <c r="I330" s="5">
        <v>3900</v>
      </c>
      <c r="J330" s="5">
        <f t="shared" si="5"/>
        <v>4460831</v>
      </c>
    </row>
    <row r="331" spans="2:10" x14ac:dyDescent="0.3">
      <c r="B331" s="4">
        <v>327</v>
      </c>
      <c r="C331" s="5" t="s">
        <v>8</v>
      </c>
      <c r="D331" s="5">
        <v>2019</v>
      </c>
      <c r="E331" s="8" t="s">
        <v>12</v>
      </c>
      <c r="F331" s="5">
        <v>2096334</v>
      </c>
      <c r="G331" s="5">
        <v>1993686</v>
      </c>
      <c r="H331" s="5">
        <v>0</v>
      </c>
      <c r="I331" s="5">
        <v>4899</v>
      </c>
      <c r="J331" s="5">
        <f t="shared" si="5"/>
        <v>4090020</v>
      </c>
    </row>
    <row r="332" spans="2:10" x14ac:dyDescent="0.3">
      <c r="B332" s="4">
        <v>328</v>
      </c>
      <c r="C332" s="5" t="s">
        <v>8</v>
      </c>
      <c r="D332" s="5">
        <v>2019</v>
      </c>
      <c r="E332" s="8" t="s">
        <v>13</v>
      </c>
      <c r="F332" s="5">
        <v>1904789</v>
      </c>
      <c r="G332" s="5">
        <v>1823322</v>
      </c>
      <c r="H332" s="5">
        <v>0</v>
      </c>
      <c r="I332" s="5">
        <v>7843</v>
      </c>
      <c r="J332" s="5">
        <f t="shared" si="5"/>
        <v>3728111</v>
      </c>
    </row>
    <row r="333" spans="2:10" x14ac:dyDescent="0.3">
      <c r="B333" s="4">
        <v>329</v>
      </c>
      <c r="C333" s="5" t="s">
        <v>8</v>
      </c>
      <c r="D333" s="5">
        <v>2019</v>
      </c>
      <c r="E333" s="8" t="s">
        <v>14</v>
      </c>
      <c r="F333" s="5">
        <v>1678326</v>
      </c>
      <c r="G333" s="5">
        <v>1607374</v>
      </c>
      <c r="H333" s="5">
        <v>0</v>
      </c>
      <c r="I333" s="5">
        <v>34567</v>
      </c>
      <c r="J333" s="5">
        <f t="shared" si="5"/>
        <v>3285700</v>
      </c>
    </row>
    <row r="334" spans="2:10" x14ac:dyDescent="0.3">
      <c r="B334" s="4">
        <v>330</v>
      </c>
      <c r="C334" s="5" t="s">
        <v>8</v>
      </c>
      <c r="D334" s="5">
        <v>2019</v>
      </c>
      <c r="E334" s="8" t="s">
        <v>15</v>
      </c>
      <c r="F334" s="5">
        <v>1449516</v>
      </c>
      <c r="G334" s="5">
        <v>1393015</v>
      </c>
      <c r="H334" s="5">
        <v>0</v>
      </c>
      <c r="I334" s="5">
        <v>42090</v>
      </c>
      <c r="J334" s="5">
        <f t="shared" si="5"/>
        <v>2842531</v>
      </c>
    </row>
    <row r="335" spans="2:10" x14ac:dyDescent="0.3">
      <c r="B335" s="4">
        <v>331</v>
      </c>
      <c r="C335" s="5" t="s">
        <v>8</v>
      </c>
      <c r="D335" s="5">
        <v>2019</v>
      </c>
      <c r="E335" s="8" t="s">
        <v>16</v>
      </c>
      <c r="F335" s="5">
        <v>1227856</v>
      </c>
      <c r="G335" s="5">
        <v>1182170</v>
      </c>
      <c r="H335" s="5">
        <v>0</v>
      </c>
      <c r="I335" s="5">
        <v>1593</v>
      </c>
      <c r="J335" s="5">
        <f t="shared" si="5"/>
        <v>2410026</v>
      </c>
    </row>
    <row r="336" spans="2:10" x14ac:dyDescent="0.3">
      <c r="B336" s="4">
        <v>332</v>
      </c>
      <c r="C336" s="5" t="s">
        <v>8</v>
      </c>
      <c r="D336" s="5">
        <v>2019</v>
      </c>
      <c r="E336" s="8" t="s">
        <v>34</v>
      </c>
      <c r="F336" s="5">
        <v>1056219</v>
      </c>
      <c r="G336" s="5">
        <v>1033361</v>
      </c>
      <c r="H336" s="5">
        <v>0</v>
      </c>
      <c r="I336" s="5">
        <v>4692</v>
      </c>
      <c r="J336" s="5">
        <f t="shared" si="5"/>
        <v>2089580</v>
      </c>
    </row>
    <row r="337" spans="2:10" x14ac:dyDescent="0.3">
      <c r="B337" s="4">
        <v>333</v>
      </c>
      <c r="C337" s="5" t="s">
        <v>8</v>
      </c>
      <c r="D337" s="5">
        <v>2019</v>
      </c>
      <c r="E337" s="8" t="s">
        <v>17</v>
      </c>
      <c r="F337" s="5">
        <v>855755</v>
      </c>
      <c r="G337" s="5">
        <v>868698</v>
      </c>
      <c r="H337" s="5">
        <v>0</v>
      </c>
      <c r="I337" s="5">
        <v>3592</v>
      </c>
      <c r="J337" s="5">
        <f t="shared" si="5"/>
        <v>1724453</v>
      </c>
    </row>
    <row r="338" spans="2:10" x14ac:dyDescent="0.3">
      <c r="B338" s="4">
        <v>334</v>
      </c>
      <c r="C338" s="5" t="s">
        <v>8</v>
      </c>
      <c r="D338" s="5">
        <v>2019</v>
      </c>
      <c r="E338" s="8" t="s">
        <v>18</v>
      </c>
      <c r="F338" s="5">
        <v>639839</v>
      </c>
      <c r="G338" s="5">
        <v>690856</v>
      </c>
      <c r="H338" s="5">
        <v>0</v>
      </c>
      <c r="I338" s="5">
        <v>4567</v>
      </c>
      <c r="J338" s="5">
        <f t="shared" si="5"/>
        <v>1330695</v>
      </c>
    </row>
    <row r="339" spans="2:10" x14ac:dyDescent="0.3">
      <c r="B339" s="4">
        <v>335</v>
      </c>
      <c r="C339" s="5" t="s">
        <v>8</v>
      </c>
      <c r="D339" s="5">
        <v>2019</v>
      </c>
      <c r="E339" s="8" t="s">
        <v>19</v>
      </c>
      <c r="F339" s="5">
        <v>398531</v>
      </c>
      <c r="G339" s="5">
        <v>462648</v>
      </c>
      <c r="H339" s="5">
        <v>0</v>
      </c>
      <c r="I339" s="5">
        <v>7654</v>
      </c>
      <c r="J339" s="5">
        <f t="shared" si="5"/>
        <v>861179</v>
      </c>
    </row>
    <row r="340" spans="2:10" x14ac:dyDescent="0.3">
      <c r="B340" s="4">
        <v>336</v>
      </c>
      <c r="C340" s="5" t="s">
        <v>8</v>
      </c>
      <c r="D340" s="5">
        <v>2019</v>
      </c>
      <c r="E340" s="8" t="s">
        <v>20</v>
      </c>
      <c r="F340" s="5">
        <v>305098</v>
      </c>
      <c r="G340" s="5">
        <v>360493</v>
      </c>
      <c r="H340" s="5">
        <v>0</v>
      </c>
      <c r="I340" s="5">
        <v>5986</v>
      </c>
      <c r="J340" s="5">
        <f t="shared" si="5"/>
        <v>665591</v>
      </c>
    </row>
    <row r="341" spans="2:10" x14ac:dyDescent="0.3">
      <c r="B341" s="4">
        <v>337</v>
      </c>
      <c r="C341" s="5" t="s">
        <v>8</v>
      </c>
      <c r="D341" s="5">
        <v>2019</v>
      </c>
      <c r="E341" s="8" t="s">
        <v>21</v>
      </c>
      <c r="F341" s="5">
        <v>272799</v>
      </c>
      <c r="G341" s="5">
        <v>323378</v>
      </c>
      <c r="H341" s="5">
        <v>0</v>
      </c>
      <c r="I341" s="5">
        <v>26008</v>
      </c>
      <c r="J341" s="5">
        <f t="shared" si="5"/>
        <v>596177</v>
      </c>
    </row>
    <row r="342" spans="2:10" x14ac:dyDescent="0.3">
      <c r="B342" s="4">
        <v>338</v>
      </c>
      <c r="C342" s="5" t="s">
        <v>8</v>
      </c>
      <c r="D342" s="5">
        <v>2019</v>
      </c>
      <c r="E342" s="8" t="s">
        <v>22</v>
      </c>
      <c r="F342" s="5">
        <v>145143</v>
      </c>
      <c r="G342" s="5">
        <v>166369</v>
      </c>
      <c r="H342" s="5">
        <v>0</v>
      </c>
      <c r="I342" s="5">
        <v>6980</v>
      </c>
      <c r="J342" s="5">
        <f t="shared" si="5"/>
        <v>311512</v>
      </c>
    </row>
    <row r="343" spans="2:10" x14ac:dyDescent="0.3">
      <c r="B343" s="4">
        <v>339</v>
      </c>
      <c r="C343" s="5" t="s">
        <v>8</v>
      </c>
      <c r="D343" s="5">
        <v>2019</v>
      </c>
      <c r="E343" s="8" t="s">
        <v>23</v>
      </c>
      <c r="F343" s="5">
        <v>106278</v>
      </c>
      <c r="G343" s="5">
        <v>134244</v>
      </c>
      <c r="H343" s="5">
        <v>0</v>
      </c>
      <c r="I343" s="5">
        <v>2457</v>
      </c>
      <c r="J343" s="5">
        <f t="shared" si="5"/>
        <v>240522</v>
      </c>
    </row>
    <row r="344" spans="2:10" x14ac:dyDescent="0.3">
      <c r="B344" s="4">
        <v>340</v>
      </c>
      <c r="C344" s="5" t="s">
        <v>8</v>
      </c>
      <c r="D344" s="5">
        <v>2019</v>
      </c>
      <c r="E344" s="8" t="s">
        <v>24</v>
      </c>
      <c r="F344" s="5">
        <v>74044</v>
      </c>
      <c r="G344" s="5">
        <v>113705</v>
      </c>
      <c r="H344" s="5">
        <v>0</v>
      </c>
      <c r="I344" s="5">
        <f>631-112</f>
        <v>519</v>
      </c>
      <c r="J344" s="5">
        <f t="shared" si="5"/>
        <v>187749</v>
      </c>
    </row>
    <row r="345" spans="2:10" x14ac:dyDescent="0.3">
      <c r="B345" s="4">
        <v>341</v>
      </c>
      <c r="C345" s="5" t="s">
        <v>28</v>
      </c>
      <c r="D345" s="5">
        <v>2015</v>
      </c>
      <c r="E345" s="8" t="s">
        <v>9</v>
      </c>
      <c r="F345" s="5">
        <v>1856293</v>
      </c>
      <c r="G345" s="5">
        <v>1757253</v>
      </c>
      <c r="H345" s="5">
        <v>737575</v>
      </c>
      <c r="I345" s="5">
        <v>703560</v>
      </c>
      <c r="J345" s="5">
        <f t="shared" si="5"/>
        <v>3613546</v>
      </c>
    </row>
    <row r="346" spans="2:10" x14ac:dyDescent="0.3">
      <c r="B346" s="4">
        <v>342</v>
      </c>
      <c r="C346" s="5" t="s">
        <v>28</v>
      </c>
      <c r="D346" s="5">
        <v>2015</v>
      </c>
      <c r="E346" s="8" t="s">
        <v>10</v>
      </c>
      <c r="F346" s="5">
        <v>1835790</v>
      </c>
      <c r="G346" s="5">
        <v>1736124</v>
      </c>
      <c r="H346" s="5">
        <v>0</v>
      </c>
      <c r="I346" s="5">
        <v>1580</v>
      </c>
      <c r="J346" s="5">
        <f t="shared" si="5"/>
        <v>3571914</v>
      </c>
    </row>
    <row r="347" spans="2:10" x14ac:dyDescent="0.3">
      <c r="B347" s="4">
        <v>343</v>
      </c>
      <c r="C347" s="5" t="s">
        <v>28</v>
      </c>
      <c r="D347" s="5">
        <v>2015</v>
      </c>
      <c r="E347" s="8" t="s">
        <v>11</v>
      </c>
      <c r="F347" s="5">
        <v>1901968</v>
      </c>
      <c r="G347" s="5">
        <v>1793698</v>
      </c>
      <c r="H347" s="5">
        <v>0</v>
      </c>
      <c r="I347" s="5">
        <v>1290</v>
      </c>
      <c r="J347" s="5">
        <f t="shared" si="5"/>
        <v>3695666</v>
      </c>
    </row>
    <row r="348" spans="2:10" x14ac:dyDescent="0.3">
      <c r="B348" s="4">
        <v>344</v>
      </c>
      <c r="C348" s="5" t="s">
        <v>28</v>
      </c>
      <c r="D348" s="5">
        <v>2015</v>
      </c>
      <c r="E348" s="8" t="s">
        <v>12</v>
      </c>
      <c r="F348" s="5">
        <v>2189470</v>
      </c>
      <c r="G348" s="5">
        <v>2000494</v>
      </c>
      <c r="H348" s="5">
        <v>0</v>
      </c>
      <c r="I348" s="5">
        <v>3598</v>
      </c>
      <c r="J348" s="5">
        <f t="shared" si="5"/>
        <v>4189964</v>
      </c>
    </row>
    <row r="349" spans="2:10" x14ac:dyDescent="0.3">
      <c r="B349" s="4">
        <v>345</v>
      </c>
      <c r="C349" s="5" t="s">
        <v>28</v>
      </c>
      <c r="D349" s="5">
        <v>2015</v>
      </c>
      <c r="E349" s="8" t="s">
        <v>13</v>
      </c>
      <c r="F349" s="5">
        <v>2398568</v>
      </c>
      <c r="G349" s="5">
        <v>2189310</v>
      </c>
      <c r="H349" s="5">
        <v>0</v>
      </c>
      <c r="I349" s="5">
        <v>2987</v>
      </c>
      <c r="J349" s="5">
        <f t="shared" si="5"/>
        <v>4587878</v>
      </c>
    </row>
    <row r="350" spans="2:10" x14ac:dyDescent="0.3">
      <c r="B350" s="4">
        <v>346</v>
      </c>
      <c r="C350" s="5" t="s">
        <v>28</v>
      </c>
      <c r="D350" s="5">
        <v>2015</v>
      </c>
      <c r="E350" s="8" t="s">
        <v>14</v>
      </c>
      <c r="F350" s="5">
        <v>2798715</v>
      </c>
      <c r="G350" s="5">
        <v>2588966</v>
      </c>
      <c r="H350" s="5">
        <v>0</v>
      </c>
      <c r="I350" s="5">
        <v>56099</v>
      </c>
      <c r="J350" s="5">
        <f t="shared" si="5"/>
        <v>5387681</v>
      </c>
    </row>
    <row r="351" spans="2:10" x14ac:dyDescent="0.3">
      <c r="B351" s="4">
        <v>347</v>
      </c>
      <c r="C351" s="5" t="s">
        <v>28</v>
      </c>
      <c r="D351" s="5">
        <v>2015</v>
      </c>
      <c r="E351" s="8" t="s">
        <v>15</v>
      </c>
      <c r="F351" s="5">
        <v>2647069</v>
      </c>
      <c r="G351" s="5">
        <v>2520791</v>
      </c>
      <c r="H351" s="5">
        <v>0</v>
      </c>
      <c r="I351" s="5">
        <v>57841</v>
      </c>
      <c r="J351" s="5">
        <f t="shared" si="5"/>
        <v>5167860</v>
      </c>
    </row>
    <row r="352" spans="2:10" x14ac:dyDescent="0.3">
      <c r="B352" s="4">
        <v>348</v>
      </c>
      <c r="C352" s="5" t="s">
        <v>28</v>
      </c>
      <c r="D352" s="5">
        <v>2015</v>
      </c>
      <c r="E352" s="8" t="s">
        <v>16</v>
      </c>
      <c r="F352" s="5">
        <v>2507280</v>
      </c>
      <c r="G352" s="5">
        <v>2444464</v>
      </c>
      <c r="H352" s="5">
        <v>0</v>
      </c>
      <c r="I352" s="5">
        <v>23844</v>
      </c>
      <c r="J352" s="5">
        <f t="shared" si="5"/>
        <v>4951744</v>
      </c>
    </row>
    <row r="353" spans="2:10" x14ac:dyDescent="0.3">
      <c r="B353" s="4">
        <v>349</v>
      </c>
      <c r="C353" s="5" t="s">
        <v>28</v>
      </c>
      <c r="D353" s="5">
        <v>2015</v>
      </c>
      <c r="E353" s="8" t="s">
        <v>34</v>
      </c>
      <c r="F353" s="5">
        <v>2518808</v>
      </c>
      <c r="G353" s="5">
        <v>2471280</v>
      </c>
      <c r="H353" s="5">
        <v>0</v>
      </c>
      <c r="I353" s="5">
        <v>19987</v>
      </c>
      <c r="J353" s="5">
        <f t="shared" si="5"/>
        <v>4990088</v>
      </c>
    </row>
    <row r="354" spans="2:10" x14ac:dyDescent="0.3">
      <c r="B354" s="4">
        <v>350</v>
      </c>
      <c r="C354" s="5" t="s">
        <v>28</v>
      </c>
      <c r="D354" s="5">
        <v>2015</v>
      </c>
      <c r="E354" s="8" t="s">
        <v>17</v>
      </c>
      <c r="F354" s="5">
        <v>3302545</v>
      </c>
      <c r="G354" s="5">
        <v>3221159</v>
      </c>
      <c r="H354" s="5">
        <v>0</v>
      </c>
      <c r="I354" s="5">
        <v>10965</v>
      </c>
      <c r="J354" s="5">
        <f t="shared" si="5"/>
        <v>6523704</v>
      </c>
    </row>
    <row r="355" spans="2:10" x14ac:dyDescent="0.3">
      <c r="B355" s="4">
        <v>351</v>
      </c>
      <c r="C355" s="5" t="s">
        <v>28</v>
      </c>
      <c r="D355" s="5">
        <v>2015</v>
      </c>
      <c r="E355" s="8" t="s">
        <v>18</v>
      </c>
      <c r="F355" s="5">
        <v>3510827</v>
      </c>
      <c r="G355" s="5">
        <v>3443938</v>
      </c>
      <c r="H355" s="5">
        <v>0</v>
      </c>
      <c r="I355" s="5">
        <v>8032</v>
      </c>
      <c r="J355" s="5">
        <f t="shared" si="5"/>
        <v>6954765</v>
      </c>
    </row>
    <row r="356" spans="2:10" x14ac:dyDescent="0.3">
      <c r="B356" s="4">
        <v>352</v>
      </c>
      <c r="C356" s="5" t="s">
        <v>28</v>
      </c>
      <c r="D356" s="5">
        <v>2015</v>
      </c>
      <c r="E356" s="8" t="s">
        <v>19</v>
      </c>
      <c r="F356" s="5">
        <v>3012491</v>
      </c>
      <c r="G356" s="5">
        <v>3026149</v>
      </c>
      <c r="H356" s="5">
        <v>0</v>
      </c>
      <c r="I356" s="5">
        <v>8000</v>
      </c>
      <c r="J356" s="5">
        <f t="shared" si="5"/>
        <v>6038640</v>
      </c>
    </row>
    <row r="357" spans="2:10" x14ac:dyDescent="0.3">
      <c r="B357" s="4">
        <v>353</v>
      </c>
      <c r="C357" s="5" t="s">
        <v>28</v>
      </c>
      <c r="D357" s="5">
        <v>2015</v>
      </c>
      <c r="E357" s="8" t="s">
        <v>20</v>
      </c>
      <c r="F357" s="5">
        <v>2529258</v>
      </c>
      <c r="G357" s="5">
        <v>2672798</v>
      </c>
      <c r="H357" s="5">
        <v>0</v>
      </c>
      <c r="I357" s="5">
        <v>6956</v>
      </c>
      <c r="J357" s="5">
        <f t="shared" si="5"/>
        <v>5202056</v>
      </c>
    </row>
    <row r="358" spans="2:10" x14ac:dyDescent="0.3">
      <c r="B358" s="4">
        <v>354</v>
      </c>
      <c r="C358" s="5" t="s">
        <v>28</v>
      </c>
      <c r="D358" s="5">
        <v>2015</v>
      </c>
      <c r="E358" s="8" t="s">
        <v>21</v>
      </c>
      <c r="F358" s="5">
        <v>2080322</v>
      </c>
      <c r="G358" s="5">
        <v>2251562</v>
      </c>
      <c r="H358" s="5">
        <v>0</v>
      </c>
      <c r="I358" s="5">
        <v>5983</v>
      </c>
      <c r="J358" s="5">
        <f t="shared" si="5"/>
        <v>4331884</v>
      </c>
    </row>
    <row r="359" spans="2:10" x14ac:dyDescent="0.3">
      <c r="B359" s="4">
        <v>355</v>
      </c>
      <c r="C359" s="5" t="s">
        <v>28</v>
      </c>
      <c r="D359" s="5">
        <v>2015</v>
      </c>
      <c r="E359" s="8" t="s">
        <v>22</v>
      </c>
      <c r="F359" s="5">
        <v>1847371</v>
      </c>
      <c r="G359" s="5">
        <v>2121822</v>
      </c>
      <c r="H359" s="5">
        <v>0</v>
      </c>
      <c r="I359" s="5">
        <v>5043</v>
      </c>
      <c r="J359" s="5">
        <f t="shared" si="5"/>
        <v>3969193</v>
      </c>
    </row>
    <row r="360" spans="2:10" x14ac:dyDescent="0.3">
      <c r="B360" s="4">
        <v>356</v>
      </c>
      <c r="C360" s="5" t="s">
        <v>28</v>
      </c>
      <c r="D360" s="5">
        <v>2015</v>
      </c>
      <c r="E360" s="8" t="s">
        <v>23</v>
      </c>
      <c r="F360" s="5">
        <v>1889669</v>
      </c>
      <c r="G360" s="5">
        <v>2380229</v>
      </c>
      <c r="H360" s="5">
        <v>0</v>
      </c>
      <c r="I360" s="5">
        <v>2081</v>
      </c>
      <c r="J360" s="5">
        <f t="shared" si="5"/>
        <v>4269898</v>
      </c>
    </row>
    <row r="361" spans="2:10" x14ac:dyDescent="0.3">
      <c r="B361" s="4">
        <v>357</v>
      </c>
      <c r="C361" s="5" t="s">
        <v>28</v>
      </c>
      <c r="D361" s="5">
        <v>2015</v>
      </c>
      <c r="E361" s="8" t="s">
        <v>24</v>
      </c>
      <c r="F361" s="5">
        <v>1687679</v>
      </c>
      <c r="G361" s="5">
        <v>3041524</v>
      </c>
      <c r="H361" s="5">
        <v>0</v>
      </c>
      <c r="I361" s="5">
        <v>8054</v>
      </c>
      <c r="J361" s="5">
        <f t="shared" si="5"/>
        <v>4729203</v>
      </c>
    </row>
    <row r="362" spans="2:10" x14ac:dyDescent="0.3">
      <c r="B362" s="4">
        <v>358</v>
      </c>
      <c r="C362" s="5" t="s">
        <v>28</v>
      </c>
      <c r="D362" s="5">
        <v>2016</v>
      </c>
      <c r="E362" s="8" t="s">
        <v>9</v>
      </c>
      <c r="F362" s="5">
        <v>1928588</v>
      </c>
      <c r="G362" s="5">
        <v>1827858</v>
      </c>
      <c r="H362" s="5">
        <v>792141</v>
      </c>
      <c r="I362" s="5">
        <f>703560-14298</f>
        <v>689262</v>
      </c>
      <c r="J362" s="5">
        <f t="shared" si="5"/>
        <v>3756446</v>
      </c>
    </row>
    <row r="363" spans="2:10" x14ac:dyDescent="0.3">
      <c r="B363" s="4">
        <v>359</v>
      </c>
      <c r="C363" s="5" t="s">
        <v>28</v>
      </c>
      <c r="D363" s="5">
        <v>2016</v>
      </c>
      <c r="E363" s="8" t="s">
        <v>10</v>
      </c>
      <c r="F363" s="5">
        <v>1857190</v>
      </c>
      <c r="G363" s="5">
        <v>1756737</v>
      </c>
      <c r="H363" s="5">
        <v>0</v>
      </c>
      <c r="I363" s="5">
        <v>1580</v>
      </c>
      <c r="J363" s="5">
        <f t="shared" si="5"/>
        <v>3613927</v>
      </c>
    </row>
    <row r="364" spans="2:10" x14ac:dyDescent="0.3">
      <c r="B364" s="4">
        <v>360</v>
      </c>
      <c r="C364" s="5" t="s">
        <v>28</v>
      </c>
      <c r="D364" s="5">
        <v>2016</v>
      </c>
      <c r="E364" s="8" t="s">
        <v>11</v>
      </c>
      <c r="F364" s="5">
        <v>1893522</v>
      </c>
      <c r="G364" s="5">
        <v>1784673</v>
      </c>
      <c r="H364" s="5">
        <v>0</v>
      </c>
      <c r="I364" s="5">
        <v>1290</v>
      </c>
      <c r="J364" s="5">
        <f t="shared" si="5"/>
        <v>3678195</v>
      </c>
    </row>
    <row r="365" spans="2:10" x14ac:dyDescent="0.3">
      <c r="B365" s="4">
        <v>361</v>
      </c>
      <c r="C365" s="5" t="s">
        <v>28</v>
      </c>
      <c r="D365" s="5">
        <v>2016</v>
      </c>
      <c r="E365" s="8" t="s">
        <v>12</v>
      </c>
      <c r="F365" s="5">
        <v>2187398</v>
      </c>
      <c r="G365" s="5">
        <v>1985471</v>
      </c>
      <c r="H365" s="5">
        <v>0</v>
      </c>
      <c r="I365" s="5">
        <v>3598</v>
      </c>
      <c r="J365" s="5">
        <f t="shared" si="5"/>
        <v>4172869</v>
      </c>
    </row>
    <row r="366" spans="2:10" x14ac:dyDescent="0.3">
      <c r="B366" s="4">
        <v>362</v>
      </c>
      <c r="C366" s="5" t="s">
        <v>28</v>
      </c>
      <c r="D366" s="5">
        <v>2016</v>
      </c>
      <c r="E366" s="8" t="s">
        <v>13</v>
      </c>
      <c r="F366" s="5">
        <v>2395930</v>
      </c>
      <c r="G366" s="5">
        <v>2178101</v>
      </c>
      <c r="H366" s="5">
        <v>0</v>
      </c>
      <c r="I366" s="5">
        <v>2987</v>
      </c>
      <c r="J366" s="5">
        <f t="shared" si="5"/>
        <v>4574031</v>
      </c>
    </row>
    <row r="367" spans="2:10" x14ac:dyDescent="0.3">
      <c r="B367" s="4">
        <v>363</v>
      </c>
      <c r="C367" s="5" t="s">
        <v>28</v>
      </c>
      <c r="D367" s="5">
        <v>2016</v>
      </c>
      <c r="E367" s="8" t="s">
        <v>14</v>
      </c>
      <c r="F367" s="5">
        <v>2787105</v>
      </c>
      <c r="G367" s="5">
        <v>2579651</v>
      </c>
      <c r="H367" s="5">
        <v>0</v>
      </c>
      <c r="I367" s="5">
        <v>56099</v>
      </c>
      <c r="J367" s="5">
        <f t="shared" si="5"/>
        <v>5366756</v>
      </c>
    </row>
    <row r="368" spans="2:10" x14ac:dyDescent="0.3">
      <c r="B368" s="4">
        <v>364</v>
      </c>
      <c r="C368" s="5" t="s">
        <v>28</v>
      </c>
      <c r="D368" s="5">
        <v>2016</v>
      </c>
      <c r="E368" s="8" t="s">
        <v>15</v>
      </c>
      <c r="F368" s="5">
        <v>2676180</v>
      </c>
      <c r="G368" s="5">
        <v>2544895</v>
      </c>
      <c r="H368" s="5">
        <v>0</v>
      </c>
      <c r="I368" s="5">
        <v>57841</v>
      </c>
      <c r="J368" s="5">
        <f t="shared" si="5"/>
        <v>5221075</v>
      </c>
    </row>
    <row r="369" spans="2:10" x14ac:dyDescent="0.3">
      <c r="B369" s="4">
        <v>365</v>
      </c>
      <c r="C369" s="5" t="s">
        <v>28</v>
      </c>
      <c r="D369" s="5">
        <v>2016</v>
      </c>
      <c r="E369" s="8" t="s">
        <v>16</v>
      </c>
      <c r="F369" s="5">
        <v>2557606</v>
      </c>
      <c r="G369" s="5">
        <v>2500432</v>
      </c>
      <c r="H369" s="5">
        <v>0</v>
      </c>
      <c r="I369" s="5">
        <v>23844</v>
      </c>
      <c r="J369" s="5">
        <f t="shared" si="5"/>
        <v>5058038</v>
      </c>
    </row>
    <row r="370" spans="2:10" x14ac:dyDescent="0.3">
      <c r="B370" s="4">
        <v>366</v>
      </c>
      <c r="C370" s="5" t="s">
        <v>28</v>
      </c>
      <c r="D370" s="5">
        <v>2016</v>
      </c>
      <c r="E370" s="8" t="s">
        <v>34</v>
      </c>
      <c r="F370" s="5">
        <v>2428357</v>
      </c>
      <c r="G370" s="5">
        <v>2393629</v>
      </c>
      <c r="H370" s="5">
        <v>0</v>
      </c>
      <c r="I370" s="5">
        <v>19987</v>
      </c>
      <c r="J370" s="5">
        <f t="shared" si="5"/>
        <v>4821986</v>
      </c>
    </row>
    <row r="371" spans="2:10" x14ac:dyDescent="0.3">
      <c r="B371" s="4">
        <v>367</v>
      </c>
      <c r="C371" s="5" t="s">
        <v>28</v>
      </c>
      <c r="D371" s="5">
        <v>2016</v>
      </c>
      <c r="E371" s="8" t="s">
        <v>17</v>
      </c>
      <c r="F371" s="5">
        <v>3162743</v>
      </c>
      <c r="G371" s="5">
        <v>3097169</v>
      </c>
      <c r="H371" s="5">
        <v>0</v>
      </c>
      <c r="I371" s="5">
        <v>10965</v>
      </c>
      <c r="J371" s="5">
        <f t="shared" si="5"/>
        <v>6259912</v>
      </c>
    </row>
    <row r="372" spans="2:10" x14ac:dyDescent="0.3">
      <c r="B372" s="4">
        <v>368</v>
      </c>
      <c r="C372" s="5" t="s">
        <v>28</v>
      </c>
      <c r="D372" s="5">
        <v>2016</v>
      </c>
      <c r="E372" s="8" t="s">
        <v>18</v>
      </c>
      <c r="F372" s="5">
        <v>3526252</v>
      </c>
      <c r="G372" s="5">
        <v>3458055</v>
      </c>
      <c r="H372" s="5">
        <v>0</v>
      </c>
      <c r="I372" s="5">
        <v>8032</v>
      </c>
      <c r="J372" s="5">
        <f t="shared" si="5"/>
        <v>6984307</v>
      </c>
    </row>
    <row r="373" spans="2:10" x14ac:dyDescent="0.3">
      <c r="B373" s="4">
        <v>369</v>
      </c>
      <c r="C373" s="5" t="s">
        <v>28</v>
      </c>
      <c r="D373" s="5">
        <v>2016</v>
      </c>
      <c r="E373" s="8" t="s">
        <v>19</v>
      </c>
      <c r="F373" s="5">
        <v>3104747</v>
      </c>
      <c r="G373" s="5">
        <v>3118379</v>
      </c>
      <c r="H373" s="5">
        <v>0</v>
      </c>
      <c r="I373" s="5">
        <v>8000</v>
      </c>
      <c r="J373" s="5">
        <f t="shared" si="5"/>
        <v>6223126</v>
      </c>
    </row>
    <row r="374" spans="2:10" x14ac:dyDescent="0.3">
      <c r="B374" s="4">
        <v>370</v>
      </c>
      <c r="C374" s="5" t="s">
        <v>28</v>
      </c>
      <c r="D374" s="5">
        <v>2016</v>
      </c>
      <c r="E374" s="8" t="s">
        <v>20</v>
      </c>
      <c r="F374" s="5">
        <v>2573457</v>
      </c>
      <c r="G374" s="5">
        <v>2707823</v>
      </c>
      <c r="H374" s="5">
        <v>0</v>
      </c>
      <c r="I374" s="5">
        <v>6956</v>
      </c>
      <c r="J374" s="5">
        <f t="shared" si="5"/>
        <v>5281280</v>
      </c>
    </row>
    <row r="375" spans="2:10" x14ac:dyDescent="0.3">
      <c r="B375" s="4">
        <v>371</v>
      </c>
      <c r="C375" s="5" t="s">
        <v>28</v>
      </c>
      <c r="D375" s="5">
        <v>2016</v>
      </c>
      <c r="E375" s="8" t="s">
        <v>21</v>
      </c>
      <c r="F375" s="5">
        <v>2186608</v>
      </c>
      <c r="G375" s="5">
        <v>2376693</v>
      </c>
      <c r="H375" s="5">
        <v>0</v>
      </c>
      <c r="I375" s="5">
        <v>5983</v>
      </c>
      <c r="J375" s="5">
        <f t="shared" si="5"/>
        <v>4563301</v>
      </c>
    </row>
    <row r="376" spans="2:10" x14ac:dyDescent="0.3">
      <c r="B376" s="4">
        <v>372</v>
      </c>
      <c r="C376" s="5" t="s">
        <v>28</v>
      </c>
      <c r="D376" s="5">
        <v>2016</v>
      </c>
      <c r="E376" s="8" t="s">
        <v>22</v>
      </c>
      <c r="F376" s="5">
        <v>1703714</v>
      </c>
      <c r="G376" s="5">
        <v>1951223</v>
      </c>
      <c r="H376" s="5">
        <v>0</v>
      </c>
      <c r="I376" s="5">
        <v>5043</v>
      </c>
      <c r="J376" s="5">
        <f t="shared" si="5"/>
        <v>3654937</v>
      </c>
    </row>
    <row r="377" spans="2:10" x14ac:dyDescent="0.3">
      <c r="B377" s="4">
        <v>373</v>
      </c>
      <c r="C377" s="5" t="s">
        <v>28</v>
      </c>
      <c r="D377" s="5">
        <v>2016</v>
      </c>
      <c r="E377" s="8" t="s">
        <v>23</v>
      </c>
      <c r="F377" s="5">
        <v>1930680</v>
      </c>
      <c r="G377" s="5">
        <v>2418877</v>
      </c>
      <c r="H377" s="5">
        <v>0</v>
      </c>
      <c r="I377" s="5">
        <v>2081</v>
      </c>
      <c r="J377" s="5">
        <f t="shared" si="5"/>
        <v>4349557</v>
      </c>
    </row>
    <row r="378" spans="2:10" x14ac:dyDescent="0.3">
      <c r="B378" s="4">
        <v>374</v>
      </c>
      <c r="C378" s="5" t="s">
        <v>28</v>
      </c>
      <c r="D378" s="5">
        <v>2016</v>
      </c>
      <c r="E378" s="8" t="s">
        <v>24</v>
      </c>
      <c r="F378" s="5">
        <v>1797041</v>
      </c>
      <c r="G378" s="5">
        <v>3144869</v>
      </c>
      <c r="H378" s="5">
        <v>0</v>
      </c>
      <c r="I378" s="5">
        <v>8054</v>
      </c>
      <c r="J378" s="5">
        <f t="shared" si="5"/>
        <v>4941910</v>
      </c>
    </row>
    <row r="379" spans="2:10" x14ac:dyDescent="0.3">
      <c r="B379" s="4">
        <v>375</v>
      </c>
      <c r="C379" s="5" t="s">
        <v>28</v>
      </c>
      <c r="D379" s="5">
        <v>2017</v>
      </c>
      <c r="E379" s="8" t="s">
        <v>9</v>
      </c>
      <c r="F379" s="5">
        <v>1974218</v>
      </c>
      <c r="G379" s="5">
        <v>1872560</v>
      </c>
      <c r="H379" s="5">
        <v>784901</v>
      </c>
      <c r="I379" s="5">
        <f>703560+7072</f>
        <v>710632</v>
      </c>
      <c r="J379" s="5">
        <f t="shared" si="5"/>
        <v>3846778</v>
      </c>
    </row>
    <row r="380" spans="2:10" x14ac:dyDescent="0.3">
      <c r="B380" s="4">
        <v>376</v>
      </c>
      <c r="C380" s="5" t="s">
        <v>28</v>
      </c>
      <c r="D380" s="5">
        <v>2017</v>
      </c>
      <c r="E380" s="8" t="s">
        <v>10</v>
      </c>
      <c r="F380" s="5">
        <v>1871418</v>
      </c>
      <c r="G380" s="5">
        <v>1770798</v>
      </c>
      <c r="H380" s="5">
        <v>0</v>
      </c>
      <c r="I380" s="5">
        <v>1580</v>
      </c>
      <c r="J380" s="5">
        <f t="shared" si="5"/>
        <v>3642216</v>
      </c>
    </row>
    <row r="381" spans="2:10" x14ac:dyDescent="0.3">
      <c r="B381" s="4">
        <v>377</v>
      </c>
      <c r="C381" s="5" t="s">
        <v>28</v>
      </c>
      <c r="D381" s="5">
        <v>2017</v>
      </c>
      <c r="E381" s="8" t="s">
        <v>11</v>
      </c>
      <c r="F381" s="5">
        <v>1895259</v>
      </c>
      <c r="G381" s="5">
        <v>1787506</v>
      </c>
      <c r="H381" s="5">
        <v>0</v>
      </c>
      <c r="I381" s="5">
        <v>1290</v>
      </c>
      <c r="J381" s="5">
        <f t="shared" si="5"/>
        <v>3682765</v>
      </c>
    </row>
    <row r="382" spans="2:10" x14ac:dyDescent="0.3">
      <c r="B382" s="4">
        <v>378</v>
      </c>
      <c r="C382" s="5" t="s">
        <v>28</v>
      </c>
      <c r="D382" s="5">
        <v>2017</v>
      </c>
      <c r="E382" s="8" t="s">
        <v>12</v>
      </c>
      <c r="F382" s="5">
        <v>2131321</v>
      </c>
      <c r="G382" s="5">
        <v>1949255</v>
      </c>
      <c r="H382" s="5">
        <v>0</v>
      </c>
      <c r="I382" s="5">
        <v>3598</v>
      </c>
      <c r="J382" s="5">
        <f t="shared" si="5"/>
        <v>4080576</v>
      </c>
    </row>
    <row r="383" spans="2:10" x14ac:dyDescent="0.3">
      <c r="B383" s="4">
        <v>379</v>
      </c>
      <c r="C383" s="5" t="s">
        <v>28</v>
      </c>
      <c r="D383" s="5">
        <v>2017</v>
      </c>
      <c r="E383" s="8" t="s">
        <v>13</v>
      </c>
      <c r="F383" s="5">
        <v>2413076</v>
      </c>
      <c r="G383" s="5">
        <v>2189438</v>
      </c>
      <c r="H383" s="5">
        <v>0</v>
      </c>
      <c r="I383" s="5">
        <v>2987</v>
      </c>
      <c r="J383" s="5">
        <f t="shared" si="5"/>
        <v>4602514</v>
      </c>
    </row>
    <row r="384" spans="2:10" x14ac:dyDescent="0.3">
      <c r="B384" s="4">
        <v>380</v>
      </c>
      <c r="C384" s="5" t="s">
        <v>28</v>
      </c>
      <c r="D384" s="5">
        <v>2017</v>
      </c>
      <c r="E384" s="8" t="s">
        <v>14</v>
      </c>
      <c r="F384" s="5">
        <v>2749822</v>
      </c>
      <c r="G384" s="5">
        <v>2548258</v>
      </c>
      <c r="H384" s="5">
        <v>0</v>
      </c>
      <c r="I384" s="5">
        <v>56099</v>
      </c>
      <c r="J384" s="5">
        <f t="shared" si="5"/>
        <v>5298080</v>
      </c>
    </row>
    <row r="385" spans="2:10" x14ac:dyDescent="0.3">
      <c r="B385" s="4">
        <v>381</v>
      </c>
      <c r="C385" s="5" t="s">
        <v>28</v>
      </c>
      <c r="D385" s="5">
        <v>2017</v>
      </c>
      <c r="E385" s="8" t="s">
        <v>15</v>
      </c>
      <c r="F385" s="5">
        <v>2716697</v>
      </c>
      <c r="G385" s="5">
        <v>2573555</v>
      </c>
      <c r="H385" s="5">
        <v>0</v>
      </c>
      <c r="I385" s="5">
        <v>57841</v>
      </c>
      <c r="J385" s="5">
        <f t="shared" si="5"/>
        <v>5290252</v>
      </c>
    </row>
    <row r="386" spans="2:10" x14ac:dyDescent="0.3">
      <c r="B386" s="4">
        <v>382</v>
      </c>
      <c r="C386" s="5" t="s">
        <v>28</v>
      </c>
      <c r="D386" s="5">
        <v>2017</v>
      </c>
      <c r="E386" s="8" t="s">
        <v>16</v>
      </c>
      <c r="F386" s="5">
        <v>2612793</v>
      </c>
      <c r="G386" s="5">
        <v>2550417</v>
      </c>
      <c r="H386" s="5">
        <v>0</v>
      </c>
      <c r="I386" s="5">
        <v>23844</v>
      </c>
      <c r="J386" s="5">
        <f t="shared" si="5"/>
        <v>5163210</v>
      </c>
    </row>
    <row r="387" spans="2:10" x14ac:dyDescent="0.3">
      <c r="B387" s="4">
        <v>383</v>
      </c>
      <c r="C387" s="5" t="s">
        <v>28</v>
      </c>
      <c r="D387" s="5">
        <v>2017</v>
      </c>
      <c r="E387" s="8" t="s">
        <v>34</v>
      </c>
      <c r="F387" s="5">
        <v>2411226</v>
      </c>
      <c r="G387" s="5">
        <v>2377131</v>
      </c>
      <c r="H387" s="5">
        <v>0</v>
      </c>
      <c r="I387" s="5">
        <v>19987</v>
      </c>
      <c r="J387" s="5">
        <f t="shared" si="5"/>
        <v>4788357</v>
      </c>
    </row>
    <row r="388" spans="2:10" x14ac:dyDescent="0.3">
      <c r="B388" s="4">
        <v>384</v>
      </c>
      <c r="C388" s="5" t="s">
        <v>28</v>
      </c>
      <c r="D388" s="5">
        <v>2017</v>
      </c>
      <c r="E388" s="8" t="s">
        <v>17</v>
      </c>
      <c r="F388" s="5">
        <v>2999227</v>
      </c>
      <c r="G388" s="5">
        <v>2944060</v>
      </c>
      <c r="H388" s="5">
        <v>0</v>
      </c>
      <c r="I388" s="5">
        <v>10965</v>
      </c>
      <c r="J388" s="5">
        <f t="shared" si="5"/>
        <v>5943287</v>
      </c>
    </row>
    <row r="389" spans="2:10" x14ac:dyDescent="0.3">
      <c r="B389" s="4">
        <v>385</v>
      </c>
      <c r="C389" s="5" t="s">
        <v>28</v>
      </c>
      <c r="D389" s="5">
        <v>2017</v>
      </c>
      <c r="E389" s="8" t="s">
        <v>18</v>
      </c>
      <c r="F389" s="5">
        <v>3517989</v>
      </c>
      <c r="G389" s="5">
        <v>3450056</v>
      </c>
      <c r="H389" s="5">
        <v>0</v>
      </c>
      <c r="I389" s="5">
        <v>8032</v>
      </c>
      <c r="J389" s="5">
        <f t="shared" ref="J389:J429" si="6">SUM(F389:G389)</f>
        <v>6968045</v>
      </c>
    </row>
    <row r="390" spans="2:10" x14ac:dyDescent="0.3">
      <c r="B390" s="4">
        <v>386</v>
      </c>
      <c r="C390" s="5" t="s">
        <v>28</v>
      </c>
      <c r="D390" s="5">
        <v>2017</v>
      </c>
      <c r="E390" s="8" t="s">
        <v>19</v>
      </c>
      <c r="F390" s="5">
        <v>3196294</v>
      </c>
      <c r="G390" s="5">
        <v>3205222</v>
      </c>
      <c r="H390" s="5">
        <v>0</v>
      </c>
      <c r="I390" s="5">
        <v>8000</v>
      </c>
      <c r="J390" s="5">
        <f t="shared" si="6"/>
        <v>6401516</v>
      </c>
    </row>
    <row r="391" spans="2:10" x14ac:dyDescent="0.3">
      <c r="B391" s="4">
        <v>387</v>
      </c>
      <c r="C391" s="5" t="s">
        <v>28</v>
      </c>
      <c r="D391" s="5">
        <v>2017</v>
      </c>
      <c r="E391" s="8" t="s">
        <v>20</v>
      </c>
      <c r="F391" s="5">
        <v>2627990</v>
      </c>
      <c r="G391" s="5">
        <v>2747063</v>
      </c>
      <c r="H391" s="5">
        <v>0</v>
      </c>
      <c r="I391" s="5">
        <v>6956</v>
      </c>
      <c r="J391" s="5">
        <f t="shared" si="6"/>
        <v>5375053</v>
      </c>
    </row>
    <row r="392" spans="2:10" x14ac:dyDescent="0.3">
      <c r="B392" s="4">
        <v>388</v>
      </c>
      <c r="C392" s="5" t="s">
        <v>28</v>
      </c>
      <c r="D392" s="5">
        <v>2017</v>
      </c>
      <c r="E392" s="8" t="s">
        <v>21</v>
      </c>
      <c r="F392" s="5">
        <v>2252151</v>
      </c>
      <c r="G392" s="5">
        <v>2459543</v>
      </c>
      <c r="H392" s="5">
        <v>0</v>
      </c>
      <c r="I392" s="5">
        <v>5983</v>
      </c>
      <c r="J392" s="5">
        <f t="shared" si="6"/>
        <v>4711694</v>
      </c>
    </row>
    <row r="393" spans="2:10" x14ac:dyDescent="0.3">
      <c r="B393" s="4">
        <v>389</v>
      </c>
      <c r="C393" s="5" t="s">
        <v>28</v>
      </c>
      <c r="D393" s="5">
        <v>2017</v>
      </c>
      <c r="E393" s="8" t="s">
        <v>22</v>
      </c>
      <c r="F393" s="5">
        <v>1684492</v>
      </c>
      <c r="G393" s="5">
        <v>1927417</v>
      </c>
      <c r="H393" s="5">
        <v>0</v>
      </c>
      <c r="I393" s="5">
        <v>5043</v>
      </c>
      <c r="J393" s="5">
        <f t="shared" si="6"/>
        <v>3611909</v>
      </c>
    </row>
    <row r="394" spans="2:10" x14ac:dyDescent="0.3">
      <c r="B394" s="4">
        <v>390</v>
      </c>
      <c r="C394" s="5" t="s">
        <v>28</v>
      </c>
      <c r="D394" s="5">
        <v>2017</v>
      </c>
      <c r="E394" s="8" t="s">
        <v>23</v>
      </c>
      <c r="F394" s="5">
        <v>1884435</v>
      </c>
      <c r="G394" s="5">
        <v>2350988</v>
      </c>
      <c r="H394" s="5">
        <v>0</v>
      </c>
      <c r="I394" s="5">
        <v>2081</v>
      </c>
      <c r="J394" s="5">
        <f t="shared" si="6"/>
        <v>4235423</v>
      </c>
    </row>
    <row r="395" spans="2:10" x14ac:dyDescent="0.3">
      <c r="B395" s="4">
        <v>391</v>
      </c>
      <c r="C395" s="5" t="s">
        <v>28</v>
      </c>
      <c r="D395" s="5">
        <v>2017</v>
      </c>
      <c r="E395" s="8" t="s">
        <v>24</v>
      </c>
      <c r="F395" s="5">
        <v>1905166</v>
      </c>
      <c r="G395" s="5">
        <v>3245519</v>
      </c>
      <c r="H395" s="5">
        <v>0</v>
      </c>
      <c r="I395" s="5">
        <v>8054</v>
      </c>
      <c r="J395" s="5">
        <f t="shared" si="6"/>
        <v>5150685</v>
      </c>
    </row>
    <row r="396" spans="2:10" x14ac:dyDescent="0.3">
      <c r="B396" s="4">
        <v>392</v>
      </c>
      <c r="C396" s="5" t="s">
        <v>28</v>
      </c>
      <c r="D396" s="5">
        <v>2018</v>
      </c>
      <c r="E396" s="8" t="s">
        <v>9</v>
      </c>
      <c r="F396" s="5">
        <v>2014097</v>
      </c>
      <c r="G396" s="5">
        <v>1912300</v>
      </c>
      <c r="H396" s="5">
        <v>787523</v>
      </c>
      <c r="I396" s="5">
        <f>703560+29775</f>
        <v>733335</v>
      </c>
      <c r="J396" s="5">
        <f t="shared" si="6"/>
        <v>3926397</v>
      </c>
    </row>
    <row r="397" spans="2:10" x14ac:dyDescent="0.3">
      <c r="B397" s="4">
        <v>393</v>
      </c>
      <c r="C397" s="5" t="s">
        <v>28</v>
      </c>
      <c r="D397" s="5">
        <v>2018</v>
      </c>
      <c r="E397" s="8" t="s">
        <v>10</v>
      </c>
      <c r="F397" s="5">
        <v>1882175</v>
      </c>
      <c r="G397" s="5">
        <v>1780063</v>
      </c>
      <c r="H397" s="5">
        <v>0</v>
      </c>
      <c r="I397" s="5">
        <v>1580</v>
      </c>
      <c r="J397" s="5">
        <f t="shared" si="6"/>
        <v>3662238</v>
      </c>
    </row>
    <row r="398" spans="2:10" x14ac:dyDescent="0.3">
      <c r="B398" s="4">
        <v>394</v>
      </c>
      <c r="C398" s="5" t="s">
        <v>28</v>
      </c>
      <c r="D398" s="5">
        <v>2018</v>
      </c>
      <c r="E398" s="8" t="s">
        <v>11</v>
      </c>
      <c r="F398" s="5">
        <v>1904430</v>
      </c>
      <c r="G398" s="5">
        <v>1797750</v>
      </c>
      <c r="H398" s="5">
        <v>0</v>
      </c>
      <c r="I398" s="5">
        <v>1290</v>
      </c>
      <c r="J398" s="5">
        <f t="shared" si="6"/>
        <v>3702180</v>
      </c>
    </row>
    <row r="399" spans="2:10" x14ac:dyDescent="0.3">
      <c r="B399" s="4">
        <v>395</v>
      </c>
      <c r="C399" s="5" t="s">
        <v>28</v>
      </c>
      <c r="D399" s="5">
        <v>2018</v>
      </c>
      <c r="E399" s="8" t="s">
        <v>12</v>
      </c>
      <c r="F399" s="5">
        <v>2082699</v>
      </c>
      <c r="G399" s="5">
        <v>1920778</v>
      </c>
      <c r="H399" s="5">
        <v>0</v>
      </c>
      <c r="I399" s="5">
        <v>3598</v>
      </c>
      <c r="J399" s="5">
        <f t="shared" si="6"/>
        <v>4003477</v>
      </c>
    </row>
    <row r="400" spans="2:10" x14ac:dyDescent="0.3">
      <c r="B400" s="4">
        <v>396</v>
      </c>
      <c r="C400" s="5" t="s">
        <v>28</v>
      </c>
      <c r="D400" s="5">
        <v>2018</v>
      </c>
      <c r="E400" s="8" t="s">
        <v>13</v>
      </c>
      <c r="F400" s="5">
        <v>2415012</v>
      </c>
      <c r="G400" s="5">
        <v>2192260</v>
      </c>
      <c r="H400" s="5">
        <v>0</v>
      </c>
      <c r="I400" s="5">
        <v>2987</v>
      </c>
      <c r="J400" s="5">
        <f t="shared" si="6"/>
        <v>4607272</v>
      </c>
    </row>
    <row r="401" spans="2:10" x14ac:dyDescent="0.3">
      <c r="B401" s="4">
        <v>397</v>
      </c>
      <c r="C401" s="5" t="s">
        <v>28</v>
      </c>
      <c r="D401" s="5">
        <v>2018</v>
      </c>
      <c r="E401" s="8" t="s">
        <v>14</v>
      </c>
      <c r="F401" s="5">
        <v>2695936</v>
      </c>
      <c r="G401" s="5">
        <v>2497399</v>
      </c>
      <c r="H401" s="5">
        <v>0</v>
      </c>
      <c r="I401" s="5">
        <v>56099</v>
      </c>
      <c r="J401" s="5">
        <f t="shared" si="6"/>
        <v>5193335</v>
      </c>
    </row>
    <row r="402" spans="2:10" x14ac:dyDescent="0.3">
      <c r="B402" s="4">
        <v>398</v>
      </c>
      <c r="C402" s="5" t="s">
        <v>28</v>
      </c>
      <c r="D402" s="5">
        <v>2018</v>
      </c>
      <c r="E402" s="8" t="s">
        <v>15</v>
      </c>
      <c r="F402" s="5">
        <v>2784081</v>
      </c>
      <c r="G402" s="5">
        <v>2624948</v>
      </c>
      <c r="H402" s="5">
        <v>0</v>
      </c>
      <c r="I402" s="5">
        <v>57841</v>
      </c>
      <c r="J402" s="5">
        <f t="shared" si="6"/>
        <v>5409029</v>
      </c>
    </row>
    <row r="403" spans="2:10" x14ac:dyDescent="0.3">
      <c r="B403" s="4">
        <v>399</v>
      </c>
      <c r="C403" s="5" t="s">
        <v>28</v>
      </c>
      <c r="D403" s="5">
        <v>2018</v>
      </c>
      <c r="E403" s="8" t="s">
        <v>16</v>
      </c>
      <c r="F403" s="5">
        <v>2653317</v>
      </c>
      <c r="G403" s="5">
        <v>2584099</v>
      </c>
      <c r="H403" s="5">
        <v>0</v>
      </c>
      <c r="I403" s="5">
        <v>23844</v>
      </c>
      <c r="J403" s="5">
        <f t="shared" si="6"/>
        <v>5237416</v>
      </c>
    </row>
    <row r="404" spans="2:10" x14ac:dyDescent="0.3">
      <c r="B404" s="4">
        <v>400</v>
      </c>
      <c r="C404" s="5" t="s">
        <v>28</v>
      </c>
      <c r="D404" s="5">
        <v>2018</v>
      </c>
      <c r="E404" s="8" t="s">
        <v>34</v>
      </c>
      <c r="F404" s="5">
        <v>2438958</v>
      </c>
      <c r="G404" s="5">
        <v>2402780</v>
      </c>
      <c r="H404" s="5">
        <v>0</v>
      </c>
      <c r="I404" s="5">
        <v>19987</v>
      </c>
      <c r="J404" s="5">
        <f t="shared" si="6"/>
        <v>4841738</v>
      </c>
    </row>
    <row r="405" spans="2:10" x14ac:dyDescent="0.3">
      <c r="B405" s="4">
        <v>401</v>
      </c>
      <c r="C405" s="5" t="s">
        <v>28</v>
      </c>
      <c r="D405" s="5">
        <v>2018</v>
      </c>
      <c r="E405" s="8" t="s">
        <v>17</v>
      </c>
      <c r="F405" s="5">
        <v>2812217</v>
      </c>
      <c r="G405" s="5">
        <v>2772302</v>
      </c>
      <c r="H405" s="5">
        <v>0</v>
      </c>
      <c r="I405" s="5">
        <v>10965</v>
      </c>
      <c r="J405" s="5">
        <f t="shared" si="6"/>
        <v>5584519</v>
      </c>
    </row>
    <row r="406" spans="2:10" x14ac:dyDescent="0.3">
      <c r="B406" s="4">
        <v>402</v>
      </c>
      <c r="C406" s="5" t="s">
        <v>28</v>
      </c>
      <c r="D406" s="5">
        <v>2018</v>
      </c>
      <c r="E406" s="8" t="s">
        <v>18</v>
      </c>
      <c r="F406" s="5">
        <v>3470222</v>
      </c>
      <c r="G406" s="5">
        <v>3405726</v>
      </c>
      <c r="H406" s="5">
        <v>0</v>
      </c>
      <c r="I406" s="5">
        <v>8032</v>
      </c>
      <c r="J406" s="5">
        <f t="shared" si="6"/>
        <v>6875948</v>
      </c>
    </row>
    <row r="407" spans="2:10" x14ac:dyDescent="0.3">
      <c r="B407" s="4">
        <v>403</v>
      </c>
      <c r="C407" s="5" t="s">
        <v>28</v>
      </c>
      <c r="D407" s="5">
        <v>2018</v>
      </c>
      <c r="E407" s="8" t="s">
        <v>19</v>
      </c>
      <c r="F407" s="5">
        <v>3297674</v>
      </c>
      <c r="G407" s="5">
        <v>3300544</v>
      </c>
      <c r="H407" s="5">
        <v>0</v>
      </c>
      <c r="I407" s="5">
        <v>8000</v>
      </c>
      <c r="J407" s="5">
        <f t="shared" si="6"/>
        <v>6598218</v>
      </c>
    </row>
    <row r="408" spans="2:10" x14ac:dyDescent="0.3">
      <c r="B408" s="4">
        <v>404</v>
      </c>
      <c r="C408" s="5" t="s">
        <v>28</v>
      </c>
      <c r="D408" s="5">
        <v>2018</v>
      </c>
      <c r="E408" s="8" t="s">
        <v>20</v>
      </c>
      <c r="F408" s="5">
        <v>2695725</v>
      </c>
      <c r="G408" s="5">
        <v>2798189</v>
      </c>
      <c r="H408" s="5">
        <v>0</v>
      </c>
      <c r="I408" s="5">
        <v>6956</v>
      </c>
      <c r="J408" s="5">
        <f t="shared" si="6"/>
        <v>5493914</v>
      </c>
    </row>
    <row r="409" spans="2:10" x14ac:dyDescent="0.3">
      <c r="B409" s="4">
        <v>405</v>
      </c>
      <c r="C409" s="5" t="s">
        <v>28</v>
      </c>
      <c r="D409" s="5">
        <v>2018</v>
      </c>
      <c r="E409" s="8" t="s">
        <v>21</v>
      </c>
      <c r="F409" s="5">
        <v>2291634</v>
      </c>
      <c r="G409" s="5">
        <v>2516863</v>
      </c>
      <c r="H409" s="5">
        <v>0</v>
      </c>
      <c r="I409" s="5">
        <v>5983</v>
      </c>
      <c r="J409" s="5">
        <f t="shared" si="6"/>
        <v>4808497</v>
      </c>
    </row>
    <row r="410" spans="2:10" x14ac:dyDescent="0.3">
      <c r="B410" s="4">
        <v>406</v>
      </c>
      <c r="C410" s="5" t="s">
        <v>28</v>
      </c>
      <c r="D410" s="5">
        <v>2018</v>
      </c>
      <c r="E410" s="8" t="s">
        <v>22</v>
      </c>
      <c r="F410" s="5">
        <v>1679886</v>
      </c>
      <c r="G410" s="5">
        <v>1916659</v>
      </c>
      <c r="H410" s="5">
        <v>0</v>
      </c>
      <c r="I410" s="5">
        <v>5043</v>
      </c>
      <c r="J410" s="5">
        <f t="shared" si="6"/>
        <v>3596545</v>
      </c>
    </row>
    <row r="411" spans="2:10" x14ac:dyDescent="0.3">
      <c r="B411" s="4">
        <v>407</v>
      </c>
      <c r="C411" s="5" t="s">
        <v>28</v>
      </c>
      <c r="D411" s="5">
        <v>2018</v>
      </c>
      <c r="E411" s="8" t="s">
        <v>23</v>
      </c>
      <c r="F411" s="5">
        <v>1823611</v>
      </c>
      <c r="G411" s="5">
        <v>2265773</v>
      </c>
      <c r="H411" s="5">
        <v>0</v>
      </c>
      <c r="I411" s="5">
        <v>2081</v>
      </c>
      <c r="J411" s="5">
        <f t="shared" si="6"/>
        <v>4089384</v>
      </c>
    </row>
    <row r="412" spans="2:10" x14ac:dyDescent="0.3">
      <c r="B412" s="4">
        <v>408</v>
      </c>
      <c r="C412" s="5" t="s">
        <v>28</v>
      </c>
      <c r="D412" s="5">
        <v>2018</v>
      </c>
      <c r="E412" s="8" t="s">
        <v>24</v>
      </c>
      <c r="F412" s="5">
        <v>2025017</v>
      </c>
      <c r="G412" s="5">
        <v>3364089</v>
      </c>
      <c r="H412" s="5">
        <v>0</v>
      </c>
      <c r="I412" s="5">
        <v>8054</v>
      </c>
      <c r="J412" s="5">
        <f t="shared" si="6"/>
        <v>5389106</v>
      </c>
    </row>
    <row r="413" spans="2:10" x14ac:dyDescent="0.3">
      <c r="B413" s="4">
        <v>409</v>
      </c>
      <c r="C413" s="5" t="s">
        <v>28</v>
      </c>
      <c r="D413" s="5">
        <v>2019</v>
      </c>
      <c r="E413" s="8" t="s">
        <v>9</v>
      </c>
      <c r="F413" s="5">
        <v>2031709</v>
      </c>
      <c r="G413" s="5">
        <v>1929667</v>
      </c>
      <c r="H413" s="7">
        <v>778090</v>
      </c>
      <c r="I413" s="5">
        <f>14320+703560</f>
        <v>717880</v>
      </c>
      <c r="J413" s="5">
        <f t="shared" si="6"/>
        <v>3961376</v>
      </c>
    </row>
    <row r="414" spans="2:10" x14ac:dyDescent="0.3">
      <c r="B414" s="4">
        <v>410</v>
      </c>
      <c r="C414" s="5" t="s">
        <v>28</v>
      </c>
      <c r="D414" s="5">
        <v>2019</v>
      </c>
      <c r="E414" s="8" t="s">
        <v>10</v>
      </c>
      <c r="F414" s="5">
        <v>1914843</v>
      </c>
      <c r="G414" s="5">
        <v>1812127</v>
      </c>
      <c r="H414" s="5">
        <v>0</v>
      </c>
      <c r="I414" s="5">
        <v>1580</v>
      </c>
      <c r="J414" s="5">
        <f t="shared" si="6"/>
        <v>3726970</v>
      </c>
    </row>
    <row r="415" spans="2:10" x14ac:dyDescent="0.3">
      <c r="B415" s="4">
        <v>411</v>
      </c>
      <c r="C415" s="5" t="s">
        <v>28</v>
      </c>
      <c r="D415" s="5">
        <v>2019</v>
      </c>
      <c r="E415" s="8" t="s">
        <v>11</v>
      </c>
      <c r="F415" s="5">
        <v>1905151</v>
      </c>
      <c r="G415" s="5">
        <v>1797762</v>
      </c>
      <c r="H415" s="5">
        <v>0</v>
      </c>
      <c r="I415" s="5">
        <v>1290</v>
      </c>
      <c r="J415" s="5">
        <f t="shared" si="6"/>
        <v>3702913</v>
      </c>
    </row>
    <row r="416" spans="2:10" x14ac:dyDescent="0.3">
      <c r="B416" s="4">
        <v>412</v>
      </c>
      <c r="C416" s="5" t="s">
        <v>28</v>
      </c>
      <c r="D416" s="5">
        <v>2019</v>
      </c>
      <c r="E416" s="8" t="s">
        <v>12</v>
      </c>
      <c r="F416" s="5">
        <v>2038846</v>
      </c>
      <c r="G416" s="5">
        <v>1900397</v>
      </c>
      <c r="H416" s="5">
        <v>0</v>
      </c>
      <c r="I416" s="5">
        <v>3598</v>
      </c>
      <c r="J416" s="5">
        <f t="shared" si="6"/>
        <v>3939243</v>
      </c>
    </row>
    <row r="417" spans="2:10" x14ac:dyDescent="0.3">
      <c r="B417" s="4">
        <v>413</v>
      </c>
      <c r="C417" s="5" t="s">
        <v>28</v>
      </c>
      <c r="D417" s="5">
        <v>2019</v>
      </c>
      <c r="E417" s="8" t="s">
        <v>13</v>
      </c>
      <c r="F417" s="5">
        <v>2416497</v>
      </c>
      <c r="G417" s="5">
        <v>2191934</v>
      </c>
      <c r="H417" s="5">
        <v>0</v>
      </c>
      <c r="I417" s="5">
        <v>2987</v>
      </c>
      <c r="J417" s="5">
        <f t="shared" si="6"/>
        <v>4608431</v>
      </c>
    </row>
    <row r="418" spans="2:10" x14ac:dyDescent="0.3">
      <c r="B418" s="4">
        <v>414</v>
      </c>
      <c r="C418" s="5" t="s">
        <v>28</v>
      </c>
      <c r="D418" s="5">
        <v>2019</v>
      </c>
      <c r="E418" s="8" t="s">
        <v>14</v>
      </c>
      <c r="F418" s="5">
        <v>2635982</v>
      </c>
      <c r="G418" s="5">
        <v>2438489</v>
      </c>
      <c r="H418" s="5">
        <v>0</v>
      </c>
      <c r="I418" s="5">
        <v>56099</v>
      </c>
      <c r="J418" s="5">
        <f t="shared" si="6"/>
        <v>5074471</v>
      </c>
    </row>
    <row r="419" spans="2:10" x14ac:dyDescent="0.3">
      <c r="B419" s="4">
        <v>415</v>
      </c>
      <c r="C419" s="5" t="s">
        <v>28</v>
      </c>
      <c r="D419" s="5">
        <v>2019</v>
      </c>
      <c r="E419" s="8" t="s">
        <v>15</v>
      </c>
      <c r="F419" s="5">
        <v>2830265</v>
      </c>
      <c r="G419" s="5">
        <v>2665445</v>
      </c>
      <c r="H419" s="5">
        <v>0</v>
      </c>
      <c r="I419" s="5">
        <v>57841</v>
      </c>
      <c r="J419" s="5">
        <f t="shared" si="6"/>
        <v>5495710</v>
      </c>
    </row>
    <row r="420" spans="2:10" x14ac:dyDescent="0.3">
      <c r="B420" s="4">
        <v>416</v>
      </c>
      <c r="C420" s="5" t="s">
        <v>28</v>
      </c>
      <c r="D420" s="5">
        <v>2019</v>
      </c>
      <c r="E420" s="8" t="s">
        <v>16</v>
      </c>
      <c r="F420" s="5">
        <v>2683121</v>
      </c>
      <c r="G420" s="5">
        <v>2606089</v>
      </c>
      <c r="H420" s="5">
        <v>0</v>
      </c>
      <c r="I420" s="5">
        <v>23844</v>
      </c>
      <c r="J420" s="5">
        <f t="shared" si="6"/>
        <v>5289210</v>
      </c>
    </row>
    <row r="421" spans="2:10" x14ac:dyDescent="0.3">
      <c r="B421" s="4">
        <v>417</v>
      </c>
      <c r="C421" s="5" t="s">
        <v>28</v>
      </c>
      <c r="D421" s="5">
        <v>2019</v>
      </c>
      <c r="E421" s="8" t="s">
        <v>34</v>
      </c>
      <c r="F421" s="5">
        <v>2470934</v>
      </c>
      <c r="G421" s="5">
        <v>2438092</v>
      </c>
      <c r="H421" s="5">
        <v>0</v>
      </c>
      <c r="I421" s="5">
        <v>19987</v>
      </c>
      <c r="J421" s="5">
        <f t="shared" si="6"/>
        <v>4909026</v>
      </c>
    </row>
    <row r="422" spans="2:10" x14ac:dyDescent="0.3">
      <c r="B422" s="4">
        <v>418</v>
      </c>
      <c r="C422" s="5" t="s">
        <v>28</v>
      </c>
      <c r="D422" s="5">
        <v>2019</v>
      </c>
      <c r="E422" s="8" t="s">
        <v>17</v>
      </c>
      <c r="F422" s="5">
        <v>2648940</v>
      </c>
      <c r="G422" s="5">
        <v>2624418</v>
      </c>
      <c r="H422" s="5">
        <v>0</v>
      </c>
      <c r="I422" s="5">
        <v>10965</v>
      </c>
      <c r="J422" s="5">
        <f t="shared" si="6"/>
        <v>5273358</v>
      </c>
    </row>
    <row r="423" spans="2:10" x14ac:dyDescent="0.3">
      <c r="B423" s="4">
        <v>419</v>
      </c>
      <c r="C423" s="5" t="s">
        <v>28</v>
      </c>
      <c r="D423" s="5">
        <v>2019</v>
      </c>
      <c r="E423" s="8" t="s">
        <v>18</v>
      </c>
      <c r="F423" s="5">
        <v>3383771</v>
      </c>
      <c r="G423" s="5">
        <v>3326464</v>
      </c>
      <c r="H423" s="5">
        <v>0</v>
      </c>
      <c r="I423" s="5">
        <v>8032</v>
      </c>
      <c r="J423" s="5">
        <f t="shared" si="6"/>
        <v>6710235</v>
      </c>
    </row>
    <row r="424" spans="2:10" x14ac:dyDescent="0.3">
      <c r="B424" s="4">
        <v>420</v>
      </c>
      <c r="C424" s="5" t="s">
        <v>28</v>
      </c>
      <c r="D424" s="5">
        <v>2019</v>
      </c>
      <c r="E424" s="8" t="s">
        <v>19</v>
      </c>
      <c r="F424" s="5">
        <v>3370390</v>
      </c>
      <c r="G424" s="5">
        <v>3366915</v>
      </c>
      <c r="H424" s="5">
        <v>0</v>
      </c>
      <c r="I424" s="5">
        <v>8000</v>
      </c>
      <c r="J424" s="5">
        <f t="shared" si="6"/>
        <v>6737305</v>
      </c>
    </row>
    <row r="425" spans="2:10" x14ac:dyDescent="0.3">
      <c r="B425" s="4">
        <v>421</v>
      </c>
      <c r="C425" s="5" t="s">
        <v>28</v>
      </c>
      <c r="D425" s="5">
        <v>2019</v>
      </c>
      <c r="E425" s="8" t="s">
        <v>20</v>
      </c>
      <c r="F425" s="5">
        <v>2779453</v>
      </c>
      <c r="G425" s="5">
        <v>2868318</v>
      </c>
      <c r="H425" s="5">
        <v>0</v>
      </c>
      <c r="I425" s="5">
        <v>6956</v>
      </c>
      <c r="J425" s="5">
        <f t="shared" si="6"/>
        <v>5647771</v>
      </c>
    </row>
    <row r="426" spans="2:10" x14ac:dyDescent="0.3">
      <c r="B426" s="4">
        <v>422</v>
      </c>
      <c r="C426" s="5" t="s">
        <v>28</v>
      </c>
      <c r="D426" s="5">
        <v>2019</v>
      </c>
      <c r="E426" s="8" t="s">
        <v>21</v>
      </c>
      <c r="F426" s="5">
        <v>2312527</v>
      </c>
      <c r="G426" s="5">
        <v>2564505</v>
      </c>
      <c r="H426" s="5">
        <v>0</v>
      </c>
      <c r="I426" s="5">
        <v>5983</v>
      </c>
      <c r="J426" s="5">
        <f t="shared" si="6"/>
        <v>4877032</v>
      </c>
    </row>
    <row r="427" spans="2:10" x14ac:dyDescent="0.3">
      <c r="B427" s="4">
        <v>423</v>
      </c>
      <c r="C427" s="5" t="s">
        <v>28</v>
      </c>
      <c r="D427" s="5">
        <v>2019</v>
      </c>
      <c r="E427" s="8" t="s">
        <v>22</v>
      </c>
      <c r="F427" s="5">
        <v>1718280</v>
      </c>
      <c r="G427" s="5">
        <v>1955815</v>
      </c>
      <c r="H427" s="5">
        <v>0</v>
      </c>
      <c r="I427" s="5">
        <v>5043</v>
      </c>
      <c r="J427" s="5">
        <f t="shared" si="6"/>
        <v>3674095</v>
      </c>
    </row>
    <row r="428" spans="2:10" x14ac:dyDescent="0.3">
      <c r="B428" s="4">
        <v>424</v>
      </c>
      <c r="C428" s="5" t="s">
        <v>28</v>
      </c>
      <c r="D428" s="5">
        <v>2019</v>
      </c>
      <c r="E428" s="8" t="s">
        <v>23</v>
      </c>
      <c r="F428" s="5">
        <v>1733030</v>
      </c>
      <c r="G428" s="5">
        <v>2143390</v>
      </c>
      <c r="H428" s="5">
        <v>0</v>
      </c>
      <c r="I428" s="5">
        <v>2081</v>
      </c>
      <c r="J428" s="5">
        <f t="shared" si="6"/>
        <v>3876420</v>
      </c>
    </row>
    <row r="429" spans="2:10" x14ac:dyDescent="0.3">
      <c r="B429" s="6">
        <v>425</v>
      </c>
      <c r="C429" s="7" t="s">
        <v>28</v>
      </c>
      <c r="D429" s="7">
        <v>2019</v>
      </c>
      <c r="E429" s="10" t="s">
        <v>24</v>
      </c>
      <c r="F429" s="7">
        <v>2163874</v>
      </c>
      <c r="G429" s="7">
        <v>3517261</v>
      </c>
      <c r="H429" s="7">
        <v>0</v>
      </c>
      <c r="I429" s="7">
        <v>8054</v>
      </c>
      <c r="J429" s="7">
        <f t="shared" si="6"/>
        <v>5681135</v>
      </c>
    </row>
  </sheetData>
  <mergeCells count="2">
    <mergeCell ref="E1:G1"/>
    <mergeCell ref="M2:R3"/>
  </mergeCells>
  <hyperlinks>
    <hyperlink ref="A1" location="Dashboard!A1" display="BACK" xr:uid="{CC08CDD1-7F4A-4133-B7CC-2C9EA72B3589}"/>
  </hyperlink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175E0C-C7D2-4ACD-95A3-EADFAEF3072E}">
  <dimension ref="A1:H426"/>
  <sheetViews>
    <sheetView tabSelected="1" workbookViewId="0">
      <selection activeCell="L19" sqref="L19"/>
    </sheetView>
  </sheetViews>
  <sheetFormatPr defaultRowHeight="14.4" x14ac:dyDescent="0.3"/>
  <cols>
    <col min="3" max="3" width="12.109375" bestFit="1" customWidth="1"/>
    <col min="8" max="8" width="17.21875" bestFit="1" customWidth="1"/>
  </cols>
  <sheetData>
    <row r="1" spans="1:8" x14ac:dyDescent="0.3">
      <c r="A1" t="s">
        <v>2</v>
      </c>
      <c r="B1" t="s">
        <v>1</v>
      </c>
      <c r="C1" t="s">
        <v>0</v>
      </c>
      <c r="D1" t="s">
        <v>3</v>
      </c>
      <c r="E1" t="s">
        <v>4</v>
      </c>
      <c r="F1" t="s">
        <v>26</v>
      </c>
      <c r="G1" t="s">
        <v>27</v>
      </c>
      <c r="H1" t="s">
        <v>5</v>
      </c>
    </row>
    <row r="2" spans="1:8" x14ac:dyDescent="0.3">
      <c r="A2" t="s">
        <v>6</v>
      </c>
      <c r="B2">
        <v>2015</v>
      </c>
      <c r="C2" t="s">
        <v>9</v>
      </c>
      <c r="D2">
        <v>62365572</v>
      </c>
      <c r="E2">
        <v>56617737</v>
      </c>
      <c r="F2">
        <v>24813844</v>
      </c>
      <c r="G2">
        <v>4166856</v>
      </c>
      <c r="H2">
        <f t="shared" ref="H2:H65" si="0">SUM(D2:F2)</f>
        <v>143797153</v>
      </c>
    </row>
    <row r="3" spans="1:8" x14ac:dyDescent="0.3">
      <c r="A3" t="s">
        <v>6</v>
      </c>
      <c r="B3">
        <v>2015</v>
      </c>
      <c r="C3" t="s">
        <v>10</v>
      </c>
      <c r="D3">
        <v>66646490</v>
      </c>
      <c r="E3">
        <v>60178746</v>
      </c>
      <c r="G3">
        <v>2864872</v>
      </c>
      <c r="H3">
        <f t="shared" si="0"/>
        <v>126825236</v>
      </c>
    </row>
    <row r="4" spans="1:8" x14ac:dyDescent="0.3">
      <c r="A4" t="s">
        <v>6</v>
      </c>
      <c r="B4">
        <v>2015</v>
      </c>
      <c r="C4" t="s">
        <v>11</v>
      </c>
      <c r="D4">
        <v>67053640</v>
      </c>
      <c r="E4">
        <v>59760885</v>
      </c>
      <c r="G4">
        <v>1043212</v>
      </c>
      <c r="H4">
        <f t="shared" si="0"/>
        <v>126814525</v>
      </c>
    </row>
    <row r="5" spans="1:8" x14ac:dyDescent="0.3">
      <c r="A5" t="s">
        <v>6</v>
      </c>
      <c r="B5">
        <v>2015</v>
      </c>
      <c r="C5" t="s">
        <v>12</v>
      </c>
      <c r="D5">
        <v>65438170</v>
      </c>
      <c r="E5">
        <v>58205670</v>
      </c>
      <c r="G5">
        <v>448821</v>
      </c>
      <c r="H5">
        <f t="shared" si="0"/>
        <v>123643840</v>
      </c>
    </row>
    <row r="6" spans="1:8" x14ac:dyDescent="0.3">
      <c r="A6" t="s">
        <v>6</v>
      </c>
      <c r="B6">
        <v>2015</v>
      </c>
      <c r="C6" t="s">
        <v>13</v>
      </c>
      <c r="D6">
        <v>62756893</v>
      </c>
      <c r="E6">
        <v>55949146</v>
      </c>
      <c r="G6">
        <v>299843</v>
      </c>
      <c r="H6">
        <f t="shared" si="0"/>
        <v>118706039</v>
      </c>
    </row>
    <row r="7" spans="1:8" x14ac:dyDescent="0.3">
      <c r="A7" t="s">
        <v>6</v>
      </c>
      <c r="B7">
        <v>2015</v>
      </c>
      <c r="C7" t="s">
        <v>14</v>
      </c>
      <c r="D7">
        <v>59663746</v>
      </c>
      <c r="E7">
        <v>53820136</v>
      </c>
      <c r="G7">
        <v>233845</v>
      </c>
      <c r="H7">
        <f t="shared" si="0"/>
        <v>113483882</v>
      </c>
    </row>
    <row r="8" spans="1:8" x14ac:dyDescent="0.3">
      <c r="A8" t="s">
        <v>6</v>
      </c>
      <c r="B8">
        <v>2015</v>
      </c>
      <c r="C8" t="s">
        <v>15</v>
      </c>
      <c r="D8">
        <v>54918049</v>
      </c>
      <c r="E8">
        <v>49976467</v>
      </c>
      <c r="G8">
        <v>198992</v>
      </c>
      <c r="H8">
        <f t="shared" si="0"/>
        <v>104894516</v>
      </c>
    </row>
    <row r="9" spans="1:8" x14ac:dyDescent="0.3">
      <c r="A9" t="s">
        <v>6</v>
      </c>
      <c r="B9">
        <v>2015</v>
      </c>
      <c r="C9" t="s">
        <v>16</v>
      </c>
      <c r="D9">
        <v>47649721</v>
      </c>
      <c r="E9">
        <v>44166159</v>
      </c>
      <c r="G9">
        <v>98999</v>
      </c>
      <c r="H9">
        <f t="shared" si="0"/>
        <v>91815880</v>
      </c>
    </row>
    <row r="10" spans="1:8" x14ac:dyDescent="0.3">
      <c r="A10" t="s">
        <v>6</v>
      </c>
      <c r="B10">
        <v>2015</v>
      </c>
      <c r="C10" t="s">
        <v>34</v>
      </c>
      <c r="D10">
        <v>41950233</v>
      </c>
      <c r="E10">
        <v>39371659</v>
      </c>
      <c r="G10">
        <v>84778</v>
      </c>
      <c r="H10">
        <f t="shared" si="0"/>
        <v>81321892</v>
      </c>
    </row>
    <row r="11" spans="1:8" x14ac:dyDescent="0.3">
      <c r="A11" t="s">
        <v>6</v>
      </c>
      <c r="B11">
        <v>2015</v>
      </c>
      <c r="C11" t="s">
        <v>17</v>
      </c>
      <c r="D11">
        <v>36685165</v>
      </c>
      <c r="E11">
        <v>34660631</v>
      </c>
      <c r="G11">
        <v>47689</v>
      </c>
      <c r="H11">
        <f t="shared" si="0"/>
        <v>71345796</v>
      </c>
    </row>
    <row r="12" spans="1:8" x14ac:dyDescent="0.3">
      <c r="A12" t="s">
        <v>6</v>
      </c>
      <c r="B12">
        <v>2015</v>
      </c>
      <c r="C12" t="s">
        <v>18</v>
      </c>
      <c r="D12">
        <v>32088187</v>
      </c>
      <c r="E12">
        <v>30468818</v>
      </c>
      <c r="G12">
        <v>44789</v>
      </c>
      <c r="H12">
        <f t="shared" si="0"/>
        <v>62557005</v>
      </c>
    </row>
    <row r="13" spans="1:8" x14ac:dyDescent="0.3">
      <c r="A13" t="s">
        <v>6</v>
      </c>
      <c r="B13">
        <v>2015</v>
      </c>
      <c r="C13" t="s">
        <v>19</v>
      </c>
      <c r="D13">
        <v>27051249</v>
      </c>
      <c r="E13">
        <v>25936429</v>
      </c>
      <c r="G13">
        <v>34765</v>
      </c>
      <c r="H13">
        <f t="shared" si="0"/>
        <v>52987678</v>
      </c>
    </row>
    <row r="14" spans="1:8" x14ac:dyDescent="0.3">
      <c r="A14" t="s">
        <v>6</v>
      </c>
      <c r="B14">
        <v>2015</v>
      </c>
      <c r="C14" t="s">
        <v>20</v>
      </c>
      <c r="D14">
        <v>21877501</v>
      </c>
      <c r="E14">
        <v>21335021</v>
      </c>
      <c r="G14">
        <v>24312</v>
      </c>
      <c r="H14">
        <f t="shared" si="0"/>
        <v>43212522</v>
      </c>
    </row>
    <row r="15" spans="1:8" x14ac:dyDescent="0.3">
      <c r="A15" t="s">
        <v>6</v>
      </c>
      <c r="B15">
        <v>2015</v>
      </c>
      <c r="C15" t="s">
        <v>21</v>
      </c>
      <c r="D15">
        <v>14308182</v>
      </c>
      <c r="E15">
        <v>14868579</v>
      </c>
      <c r="G15">
        <v>19882</v>
      </c>
      <c r="H15">
        <f t="shared" si="0"/>
        <v>29176761</v>
      </c>
    </row>
    <row r="16" spans="1:8" x14ac:dyDescent="0.3">
      <c r="A16" t="s">
        <v>6</v>
      </c>
      <c r="B16">
        <v>2015</v>
      </c>
      <c r="C16" t="s">
        <v>22</v>
      </c>
      <c r="D16">
        <v>9411446</v>
      </c>
      <c r="E16">
        <v>10545786</v>
      </c>
      <c r="G16">
        <v>4002</v>
      </c>
      <c r="H16">
        <f t="shared" si="0"/>
        <v>19957232</v>
      </c>
    </row>
    <row r="17" spans="1:8" x14ac:dyDescent="0.3">
      <c r="A17" t="s">
        <v>6</v>
      </c>
      <c r="B17">
        <v>2015</v>
      </c>
      <c r="C17" t="s">
        <v>23</v>
      </c>
      <c r="D17">
        <v>6157964</v>
      </c>
      <c r="E17">
        <v>7144301</v>
      </c>
      <c r="G17">
        <v>2139</v>
      </c>
      <c r="H17">
        <f t="shared" si="0"/>
        <v>13302265</v>
      </c>
    </row>
    <row r="18" spans="1:8" x14ac:dyDescent="0.3">
      <c r="A18" t="s">
        <v>6</v>
      </c>
      <c r="B18">
        <v>2015</v>
      </c>
      <c r="C18" t="s">
        <v>24</v>
      </c>
      <c r="D18">
        <v>4901130</v>
      </c>
      <c r="E18">
        <v>5922890</v>
      </c>
      <c r="G18">
        <v>1760</v>
      </c>
      <c r="H18">
        <f t="shared" si="0"/>
        <v>10824020</v>
      </c>
    </row>
    <row r="19" spans="1:8" x14ac:dyDescent="0.3">
      <c r="A19" t="s">
        <v>6</v>
      </c>
      <c r="B19">
        <v>2016</v>
      </c>
      <c r="C19" t="s">
        <v>9</v>
      </c>
      <c r="D19">
        <v>61298379</v>
      </c>
      <c r="E19">
        <v>55600910</v>
      </c>
      <c r="F19">
        <v>24656980</v>
      </c>
      <c r="G19">
        <v>4146896</v>
      </c>
      <c r="H19">
        <f t="shared" si="0"/>
        <v>141556269</v>
      </c>
    </row>
    <row r="20" spans="1:8" x14ac:dyDescent="0.3">
      <c r="A20" t="s">
        <v>6</v>
      </c>
      <c r="B20">
        <v>2016</v>
      </c>
      <c r="C20" t="s">
        <v>10</v>
      </c>
      <c r="D20">
        <v>66103259</v>
      </c>
      <c r="E20">
        <v>59819505</v>
      </c>
      <c r="G20">
        <v>2952872</v>
      </c>
      <c r="H20">
        <f t="shared" si="0"/>
        <v>125922764</v>
      </c>
    </row>
    <row r="21" spans="1:8" x14ac:dyDescent="0.3">
      <c r="A21" t="s">
        <v>6</v>
      </c>
      <c r="B21">
        <v>2016</v>
      </c>
      <c r="C21" t="s">
        <v>11</v>
      </c>
      <c r="D21">
        <v>67166339</v>
      </c>
      <c r="E21">
        <v>59979187</v>
      </c>
      <c r="G21">
        <v>1142214</v>
      </c>
      <c r="H21">
        <f t="shared" si="0"/>
        <v>127145526</v>
      </c>
    </row>
    <row r="22" spans="1:8" x14ac:dyDescent="0.3">
      <c r="A22" t="s">
        <v>6</v>
      </c>
      <c r="B22">
        <v>2016</v>
      </c>
      <c r="C22" t="s">
        <v>12</v>
      </c>
      <c r="D22">
        <v>65817430</v>
      </c>
      <c r="E22">
        <v>58530975</v>
      </c>
      <c r="G22">
        <v>348827</v>
      </c>
      <c r="H22">
        <f t="shared" si="0"/>
        <v>124348405</v>
      </c>
    </row>
    <row r="23" spans="1:8" x14ac:dyDescent="0.3">
      <c r="A23" t="s">
        <v>6</v>
      </c>
      <c r="B23">
        <v>2016</v>
      </c>
      <c r="C23" t="s">
        <v>13</v>
      </c>
      <c r="D23">
        <v>63233369</v>
      </c>
      <c r="E23">
        <v>56312415</v>
      </c>
      <c r="G23">
        <v>299893</v>
      </c>
      <c r="H23">
        <f t="shared" si="0"/>
        <v>119545784</v>
      </c>
    </row>
    <row r="24" spans="1:8" x14ac:dyDescent="0.3">
      <c r="A24" t="s">
        <v>6</v>
      </c>
      <c r="B24">
        <v>2016</v>
      </c>
      <c r="C24" t="s">
        <v>14</v>
      </c>
      <c r="D24">
        <v>60270283</v>
      </c>
      <c r="E24">
        <v>54280902</v>
      </c>
      <c r="G24">
        <v>234885</v>
      </c>
      <c r="H24">
        <f t="shared" si="0"/>
        <v>114551185</v>
      </c>
    </row>
    <row r="25" spans="1:8" x14ac:dyDescent="0.3">
      <c r="A25" t="s">
        <v>6</v>
      </c>
      <c r="B25">
        <v>2016</v>
      </c>
      <c r="C25" t="s">
        <v>15</v>
      </c>
      <c r="D25">
        <v>55969841</v>
      </c>
      <c r="E25">
        <v>50881382</v>
      </c>
      <c r="G25">
        <v>108902</v>
      </c>
      <c r="H25">
        <f t="shared" si="0"/>
        <v>106851223</v>
      </c>
    </row>
    <row r="26" spans="1:8" x14ac:dyDescent="0.3">
      <c r="A26" t="s">
        <v>6</v>
      </c>
      <c r="B26">
        <v>2016</v>
      </c>
      <c r="C26" t="s">
        <v>16</v>
      </c>
      <c r="D26">
        <v>48889458</v>
      </c>
      <c r="E26">
        <v>45224268</v>
      </c>
      <c r="G26">
        <v>92909</v>
      </c>
      <c r="H26">
        <f t="shared" si="0"/>
        <v>94113726</v>
      </c>
    </row>
    <row r="27" spans="1:8" x14ac:dyDescent="0.3">
      <c r="A27" t="s">
        <v>6</v>
      </c>
      <c r="B27">
        <v>2016</v>
      </c>
      <c r="C27" t="s">
        <v>34</v>
      </c>
      <c r="D27">
        <v>42832136</v>
      </c>
      <c r="E27">
        <v>40209627</v>
      </c>
      <c r="G27">
        <v>72700</v>
      </c>
      <c r="H27">
        <f t="shared" si="0"/>
        <v>83041763</v>
      </c>
    </row>
    <row r="28" spans="1:8" x14ac:dyDescent="0.3">
      <c r="A28" t="s">
        <v>6</v>
      </c>
      <c r="B28">
        <v>2016</v>
      </c>
      <c r="C28" t="s">
        <v>17</v>
      </c>
      <c r="D28">
        <v>37425001</v>
      </c>
      <c r="E28">
        <v>35407937</v>
      </c>
      <c r="G28">
        <v>55689</v>
      </c>
      <c r="H28">
        <f t="shared" si="0"/>
        <v>72832938</v>
      </c>
    </row>
    <row r="29" spans="1:8" x14ac:dyDescent="0.3">
      <c r="A29" t="s">
        <v>6</v>
      </c>
      <c r="B29">
        <v>2016</v>
      </c>
      <c r="C29" t="s">
        <v>18</v>
      </c>
      <c r="D29">
        <v>32680196</v>
      </c>
      <c r="E29">
        <v>31088691</v>
      </c>
      <c r="G29">
        <v>45789</v>
      </c>
      <c r="H29">
        <f t="shared" si="0"/>
        <v>63768887</v>
      </c>
    </row>
    <row r="30" spans="1:8" x14ac:dyDescent="0.3">
      <c r="A30" t="s">
        <v>6</v>
      </c>
      <c r="B30">
        <v>2016</v>
      </c>
      <c r="C30" t="s">
        <v>19</v>
      </c>
      <c r="D30">
        <v>27615940</v>
      </c>
      <c r="E30">
        <v>26525078</v>
      </c>
      <c r="G30">
        <v>34765</v>
      </c>
      <c r="H30">
        <f t="shared" si="0"/>
        <v>54141018</v>
      </c>
    </row>
    <row r="31" spans="1:8" x14ac:dyDescent="0.3">
      <c r="A31" t="s">
        <v>6</v>
      </c>
      <c r="B31">
        <v>2016</v>
      </c>
      <c r="C31" t="s">
        <v>20</v>
      </c>
      <c r="D31">
        <v>22609575</v>
      </c>
      <c r="E31">
        <v>22004365</v>
      </c>
      <c r="G31">
        <v>24312</v>
      </c>
      <c r="H31">
        <f t="shared" si="0"/>
        <v>44613940</v>
      </c>
    </row>
    <row r="32" spans="1:8" x14ac:dyDescent="0.3">
      <c r="A32" t="s">
        <v>6</v>
      </c>
      <c r="B32">
        <v>2016</v>
      </c>
      <c r="C32" t="s">
        <v>21</v>
      </c>
      <c r="D32">
        <v>15148652</v>
      </c>
      <c r="E32">
        <v>15598198</v>
      </c>
      <c r="G32">
        <v>19882</v>
      </c>
      <c r="H32">
        <f t="shared" si="0"/>
        <v>30746850</v>
      </c>
    </row>
    <row r="33" spans="1:8" x14ac:dyDescent="0.3">
      <c r="A33" t="s">
        <v>6</v>
      </c>
      <c r="B33">
        <v>2016</v>
      </c>
      <c r="C33" t="s">
        <v>22</v>
      </c>
      <c r="D33">
        <v>9966931</v>
      </c>
      <c r="E33">
        <v>10802412</v>
      </c>
      <c r="G33">
        <v>4002</v>
      </c>
      <c r="H33">
        <f t="shared" si="0"/>
        <v>20769343</v>
      </c>
    </row>
    <row r="34" spans="1:8" x14ac:dyDescent="0.3">
      <c r="A34" t="s">
        <v>6</v>
      </c>
      <c r="B34">
        <v>2016</v>
      </c>
      <c r="C34" t="s">
        <v>23</v>
      </c>
      <c r="D34">
        <v>6339364</v>
      </c>
      <c r="E34">
        <v>7313452</v>
      </c>
      <c r="G34">
        <v>2139</v>
      </c>
      <c r="H34">
        <f t="shared" si="0"/>
        <v>13652816</v>
      </c>
    </row>
    <row r="35" spans="1:8" x14ac:dyDescent="0.3">
      <c r="A35" t="s">
        <v>6</v>
      </c>
      <c r="B35">
        <v>2016</v>
      </c>
      <c r="C35" t="s">
        <v>24</v>
      </c>
      <c r="D35">
        <v>5234548</v>
      </c>
      <c r="E35">
        <v>6329580</v>
      </c>
      <c r="G35">
        <v>1760</v>
      </c>
      <c r="H35">
        <f t="shared" si="0"/>
        <v>11564128</v>
      </c>
    </row>
    <row r="36" spans="1:8" x14ac:dyDescent="0.3">
      <c r="A36" t="s">
        <v>6</v>
      </c>
      <c r="B36">
        <v>2017</v>
      </c>
      <c r="C36" t="s">
        <v>9</v>
      </c>
      <c r="D36">
        <v>60912530</v>
      </c>
      <c r="E36">
        <v>55258410</v>
      </c>
      <c r="F36">
        <v>24497462</v>
      </c>
      <c r="G36">
        <f>4166856+77689</f>
        <v>4244545</v>
      </c>
      <c r="H36">
        <f t="shared" si="0"/>
        <v>140668402</v>
      </c>
    </row>
    <row r="37" spans="1:8" x14ac:dyDescent="0.3">
      <c r="A37" t="s">
        <v>6</v>
      </c>
      <c r="B37">
        <v>2017</v>
      </c>
      <c r="C37" t="s">
        <v>10</v>
      </c>
      <c r="D37">
        <v>65242224</v>
      </c>
      <c r="E37">
        <v>59122099</v>
      </c>
      <c r="G37">
        <v>2864872</v>
      </c>
      <c r="H37">
        <f t="shared" si="0"/>
        <v>124364323</v>
      </c>
    </row>
    <row r="38" spans="1:8" x14ac:dyDescent="0.3">
      <c r="A38" t="s">
        <v>6</v>
      </c>
      <c r="B38">
        <v>2017</v>
      </c>
      <c r="C38" t="s">
        <v>11</v>
      </c>
      <c r="D38">
        <v>67171364</v>
      </c>
      <c r="E38">
        <v>60139277</v>
      </c>
      <c r="G38">
        <v>1043212</v>
      </c>
      <c r="H38">
        <f t="shared" si="0"/>
        <v>127310641</v>
      </c>
    </row>
    <row r="39" spans="1:8" x14ac:dyDescent="0.3">
      <c r="A39" t="s">
        <v>6</v>
      </c>
      <c r="B39">
        <v>2017</v>
      </c>
      <c r="C39" t="s">
        <v>12</v>
      </c>
      <c r="D39">
        <v>66110633</v>
      </c>
      <c r="E39">
        <v>58772988</v>
      </c>
      <c r="G39">
        <v>448821</v>
      </c>
      <c r="H39">
        <f t="shared" si="0"/>
        <v>124883621</v>
      </c>
    </row>
    <row r="40" spans="1:8" x14ac:dyDescent="0.3">
      <c r="A40" t="s">
        <v>6</v>
      </c>
      <c r="B40">
        <v>2017</v>
      </c>
      <c r="C40" t="s">
        <v>13</v>
      </c>
      <c r="D40">
        <v>63668733</v>
      </c>
      <c r="E40">
        <v>56656333</v>
      </c>
      <c r="G40">
        <v>299843</v>
      </c>
      <c r="H40">
        <f t="shared" si="0"/>
        <v>120325066</v>
      </c>
    </row>
    <row r="41" spans="1:8" x14ac:dyDescent="0.3">
      <c r="A41" t="s">
        <v>6</v>
      </c>
      <c r="B41">
        <v>2017</v>
      </c>
      <c r="C41" t="s">
        <v>14</v>
      </c>
      <c r="D41">
        <v>60765547</v>
      </c>
      <c r="E41">
        <v>54603917</v>
      </c>
      <c r="G41">
        <v>233845</v>
      </c>
      <c r="H41">
        <f t="shared" si="0"/>
        <v>115369464</v>
      </c>
    </row>
    <row r="42" spans="1:8" x14ac:dyDescent="0.3">
      <c r="A42" t="s">
        <v>6</v>
      </c>
      <c r="B42">
        <v>2017</v>
      </c>
      <c r="C42" t="s">
        <v>15</v>
      </c>
      <c r="D42">
        <v>56842250</v>
      </c>
      <c r="E42">
        <v>51638381</v>
      </c>
      <c r="G42">
        <v>198992</v>
      </c>
      <c r="H42">
        <f t="shared" si="0"/>
        <v>108480631</v>
      </c>
    </row>
    <row r="43" spans="1:8" x14ac:dyDescent="0.3">
      <c r="A43" t="s">
        <v>6</v>
      </c>
      <c r="B43">
        <v>2017</v>
      </c>
      <c r="C43" t="s">
        <v>16</v>
      </c>
      <c r="D43">
        <v>50211341</v>
      </c>
      <c r="E43">
        <v>46326639</v>
      </c>
      <c r="G43">
        <v>98999</v>
      </c>
      <c r="H43">
        <f t="shared" si="0"/>
        <v>96537980</v>
      </c>
    </row>
    <row r="44" spans="1:8" x14ac:dyDescent="0.3">
      <c r="A44" t="s">
        <v>6</v>
      </c>
      <c r="B44">
        <v>2017</v>
      </c>
      <c r="C44" t="s">
        <v>34</v>
      </c>
      <c r="D44">
        <v>43682826</v>
      </c>
      <c r="E44">
        <v>41000255</v>
      </c>
      <c r="G44">
        <v>84778</v>
      </c>
      <c r="H44">
        <f t="shared" si="0"/>
        <v>84683081</v>
      </c>
    </row>
    <row r="45" spans="1:8" x14ac:dyDescent="0.3">
      <c r="A45" t="s">
        <v>6</v>
      </c>
      <c r="B45">
        <v>2017</v>
      </c>
      <c r="C45" t="s">
        <v>17</v>
      </c>
      <c r="D45">
        <v>38207872</v>
      </c>
      <c r="E45">
        <v>36190455</v>
      </c>
      <c r="G45">
        <v>47689</v>
      </c>
      <c r="H45">
        <f t="shared" si="0"/>
        <v>74398327</v>
      </c>
    </row>
    <row r="46" spans="1:8" x14ac:dyDescent="0.3">
      <c r="A46" t="s">
        <v>6</v>
      </c>
      <c r="B46">
        <v>2017</v>
      </c>
      <c r="C46" t="s">
        <v>18</v>
      </c>
      <c r="D46">
        <v>33254336</v>
      </c>
      <c r="E46">
        <v>31687040</v>
      </c>
      <c r="G46">
        <v>44789</v>
      </c>
      <c r="H46">
        <f t="shared" si="0"/>
        <v>64941376</v>
      </c>
    </row>
    <row r="47" spans="1:8" x14ac:dyDescent="0.3">
      <c r="A47" t="s">
        <v>6</v>
      </c>
      <c r="B47">
        <v>2017</v>
      </c>
      <c r="C47" t="s">
        <v>19</v>
      </c>
      <c r="D47">
        <v>28219432</v>
      </c>
      <c r="E47">
        <v>27145819</v>
      </c>
      <c r="G47">
        <v>34765</v>
      </c>
      <c r="H47">
        <f t="shared" si="0"/>
        <v>55365251</v>
      </c>
    </row>
    <row r="48" spans="1:8" x14ac:dyDescent="0.3">
      <c r="A48" t="s">
        <v>6</v>
      </c>
      <c r="B48">
        <v>2017</v>
      </c>
      <c r="C48" t="s">
        <v>20</v>
      </c>
      <c r="D48">
        <v>23174292</v>
      </c>
      <c r="E48">
        <v>22560150</v>
      </c>
      <c r="G48">
        <v>24312</v>
      </c>
      <c r="H48">
        <f t="shared" si="0"/>
        <v>45734442</v>
      </c>
    </row>
    <row r="49" spans="1:8" x14ac:dyDescent="0.3">
      <c r="A49" t="s">
        <v>6</v>
      </c>
      <c r="B49">
        <v>2017</v>
      </c>
      <c r="C49" t="s">
        <v>21</v>
      </c>
      <c r="D49">
        <v>16164962</v>
      </c>
      <c r="E49">
        <v>16462911</v>
      </c>
      <c r="G49">
        <v>19882</v>
      </c>
      <c r="H49">
        <f t="shared" si="0"/>
        <v>32627873</v>
      </c>
    </row>
    <row r="50" spans="1:8" x14ac:dyDescent="0.3">
      <c r="A50" t="s">
        <v>6</v>
      </c>
      <c r="B50">
        <v>2017</v>
      </c>
      <c r="C50" t="s">
        <v>22</v>
      </c>
      <c r="D50">
        <v>10217264</v>
      </c>
      <c r="E50">
        <v>11076504</v>
      </c>
      <c r="G50">
        <v>4002</v>
      </c>
      <c r="H50">
        <f t="shared" si="0"/>
        <v>21293768</v>
      </c>
    </row>
    <row r="51" spans="1:8" x14ac:dyDescent="0.3">
      <c r="A51" t="s">
        <v>6</v>
      </c>
      <c r="B51">
        <v>2017</v>
      </c>
      <c r="C51" t="s">
        <v>23</v>
      </c>
      <c r="D51">
        <v>6510293</v>
      </c>
      <c r="E51">
        <v>7460628</v>
      </c>
      <c r="G51">
        <v>2139</v>
      </c>
      <c r="H51">
        <f t="shared" si="0"/>
        <v>13970921</v>
      </c>
    </row>
    <row r="52" spans="1:8" x14ac:dyDescent="0.3">
      <c r="A52" t="s">
        <v>6</v>
      </c>
      <c r="B52">
        <v>2017</v>
      </c>
      <c r="C52" t="s">
        <v>24</v>
      </c>
      <c r="D52">
        <v>5515294</v>
      </c>
      <c r="E52">
        <v>6685835</v>
      </c>
      <c r="G52">
        <v>1760</v>
      </c>
      <c r="H52">
        <f t="shared" si="0"/>
        <v>12201129</v>
      </c>
    </row>
    <row r="53" spans="1:8" x14ac:dyDescent="0.3">
      <c r="A53" t="s">
        <v>6</v>
      </c>
      <c r="B53">
        <v>2018</v>
      </c>
      <c r="C53" t="s">
        <v>9</v>
      </c>
      <c r="D53">
        <v>60996093</v>
      </c>
      <c r="E53">
        <v>55381108</v>
      </c>
      <c r="F53">
        <v>24346991</v>
      </c>
      <c r="G53">
        <f>4166856+159817</f>
        <v>4326673</v>
      </c>
      <c r="H53">
        <f t="shared" si="0"/>
        <v>140724192</v>
      </c>
    </row>
    <row r="54" spans="1:8" x14ac:dyDescent="0.3">
      <c r="A54" t="s">
        <v>6</v>
      </c>
      <c r="B54">
        <v>2018</v>
      </c>
      <c r="C54" t="s">
        <v>10</v>
      </c>
      <c r="D54">
        <v>64116354</v>
      </c>
      <c r="E54">
        <v>58132633</v>
      </c>
      <c r="G54">
        <v>2864872</v>
      </c>
      <c r="H54">
        <f t="shared" si="0"/>
        <v>122248987</v>
      </c>
    </row>
    <row r="55" spans="1:8" x14ac:dyDescent="0.3">
      <c r="A55" t="s">
        <v>6</v>
      </c>
      <c r="B55">
        <v>2018</v>
      </c>
      <c r="C55" t="s">
        <v>11</v>
      </c>
      <c r="D55">
        <v>67071242</v>
      </c>
      <c r="E55">
        <v>60230207</v>
      </c>
      <c r="G55">
        <v>1043212</v>
      </c>
      <c r="H55">
        <f t="shared" si="0"/>
        <v>127301449</v>
      </c>
    </row>
    <row r="56" spans="1:8" x14ac:dyDescent="0.3">
      <c r="A56" t="s">
        <v>6</v>
      </c>
      <c r="B56">
        <v>2018</v>
      </c>
      <c r="C56" t="s">
        <v>12</v>
      </c>
      <c r="D56">
        <v>66337392</v>
      </c>
      <c r="E56">
        <v>58967292</v>
      </c>
      <c r="G56">
        <v>448821</v>
      </c>
      <c r="H56">
        <f t="shared" si="0"/>
        <v>125304684</v>
      </c>
    </row>
    <row r="57" spans="1:8" x14ac:dyDescent="0.3">
      <c r="A57" t="s">
        <v>6</v>
      </c>
      <c r="B57">
        <v>2018</v>
      </c>
      <c r="C57" t="s">
        <v>13</v>
      </c>
      <c r="D57">
        <v>64078213</v>
      </c>
      <c r="E57">
        <v>56982700</v>
      </c>
      <c r="G57">
        <v>299843</v>
      </c>
      <c r="H57">
        <f t="shared" si="0"/>
        <v>121060913</v>
      </c>
    </row>
    <row r="58" spans="1:8" x14ac:dyDescent="0.3">
      <c r="A58" t="s">
        <v>6</v>
      </c>
      <c r="B58">
        <v>2018</v>
      </c>
      <c r="C58" t="s">
        <v>14</v>
      </c>
      <c r="D58">
        <v>61189933</v>
      </c>
      <c r="E58">
        <v>54842787</v>
      </c>
      <c r="G58">
        <v>233845</v>
      </c>
      <c r="H58">
        <f t="shared" si="0"/>
        <v>116032720</v>
      </c>
    </row>
    <row r="59" spans="1:8" x14ac:dyDescent="0.3">
      <c r="A59" t="s">
        <v>6</v>
      </c>
      <c r="B59">
        <v>2018</v>
      </c>
      <c r="C59" t="s">
        <v>15</v>
      </c>
      <c r="D59">
        <v>57576730</v>
      </c>
      <c r="E59">
        <v>52269750</v>
      </c>
      <c r="G59">
        <v>198992</v>
      </c>
      <c r="H59">
        <f t="shared" si="0"/>
        <v>109846480</v>
      </c>
    </row>
    <row r="60" spans="1:8" x14ac:dyDescent="0.3">
      <c r="A60" t="s">
        <v>6</v>
      </c>
      <c r="B60">
        <v>2018</v>
      </c>
      <c r="C60" t="s">
        <v>16</v>
      </c>
      <c r="D60">
        <v>51556939</v>
      </c>
      <c r="E60">
        <v>47437459</v>
      </c>
      <c r="G60">
        <v>98999</v>
      </c>
      <c r="H60">
        <f t="shared" si="0"/>
        <v>98994398</v>
      </c>
    </row>
    <row r="61" spans="1:8" x14ac:dyDescent="0.3">
      <c r="A61" t="s">
        <v>6</v>
      </c>
      <c r="B61">
        <v>2018</v>
      </c>
      <c r="C61" t="s">
        <v>34</v>
      </c>
      <c r="D61">
        <v>44553072</v>
      </c>
      <c r="E61">
        <v>41784882</v>
      </c>
      <c r="G61">
        <v>84778</v>
      </c>
      <c r="H61">
        <f t="shared" si="0"/>
        <v>86337954</v>
      </c>
    </row>
    <row r="62" spans="1:8" x14ac:dyDescent="0.3">
      <c r="A62" t="s">
        <v>6</v>
      </c>
      <c r="B62">
        <v>2018</v>
      </c>
      <c r="C62" t="s">
        <v>17</v>
      </c>
      <c r="D62">
        <v>39028988</v>
      </c>
      <c r="E62">
        <v>37004404</v>
      </c>
      <c r="G62">
        <v>47689</v>
      </c>
      <c r="H62">
        <f t="shared" si="0"/>
        <v>76033392</v>
      </c>
    </row>
    <row r="63" spans="1:8" x14ac:dyDescent="0.3">
      <c r="A63" t="s">
        <v>6</v>
      </c>
      <c r="B63">
        <v>2018</v>
      </c>
      <c r="C63" t="s">
        <v>18</v>
      </c>
      <c r="D63">
        <v>33841414</v>
      </c>
      <c r="E63">
        <v>32292454</v>
      </c>
      <c r="G63">
        <v>44789</v>
      </c>
      <c r="H63">
        <f t="shared" si="0"/>
        <v>66133868</v>
      </c>
    </row>
    <row r="64" spans="1:8" x14ac:dyDescent="0.3">
      <c r="A64" t="s">
        <v>6</v>
      </c>
      <c r="B64">
        <v>2018</v>
      </c>
      <c r="C64" t="s">
        <v>19</v>
      </c>
      <c r="D64">
        <v>28853550</v>
      </c>
      <c r="E64">
        <v>27789591</v>
      </c>
      <c r="G64">
        <v>34765</v>
      </c>
      <c r="H64">
        <f t="shared" si="0"/>
        <v>56643141</v>
      </c>
    </row>
    <row r="65" spans="1:8" x14ac:dyDescent="0.3">
      <c r="A65" t="s">
        <v>6</v>
      </c>
      <c r="B65">
        <v>2018</v>
      </c>
      <c r="C65" t="s">
        <v>20</v>
      </c>
      <c r="D65">
        <v>23643347</v>
      </c>
      <c r="E65">
        <v>23060619</v>
      </c>
      <c r="G65">
        <v>24312</v>
      </c>
      <c r="H65">
        <f t="shared" si="0"/>
        <v>46703966</v>
      </c>
    </row>
    <row r="66" spans="1:8" x14ac:dyDescent="0.3">
      <c r="A66" t="s">
        <v>6</v>
      </c>
      <c r="B66">
        <v>2018</v>
      </c>
      <c r="C66" t="s">
        <v>21</v>
      </c>
      <c r="D66">
        <v>17258733</v>
      </c>
      <c r="E66">
        <v>17392827</v>
      </c>
      <c r="G66">
        <v>19882</v>
      </c>
      <c r="H66">
        <f t="shared" ref="H66:H129" si="1">SUM(D66:F66)</f>
        <v>34651560</v>
      </c>
    </row>
    <row r="67" spans="1:8" x14ac:dyDescent="0.3">
      <c r="A67" t="s">
        <v>6</v>
      </c>
      <c r="B67">
        <v>2018</v>
      </c>
      <c r="C67" t="s">
        <v>22</v>
      </c>
      <c r="D67">
        <v>10526265</v>
      </c>
      <c r="E67">
        <v>11409390</v>
      </c>
      <c r="G67">
        <v>4002</v>
      </c>
      <c r="H67">
        <f t="shared" si="1"/>
        <v>21935655</v>
      </c>
    </row>
    <row r="68" spans="1:8" x14ac:dyDescent="0.3">
      <c r="A68" t="s">
        <v>6</v>
      </c>
      <c r="B68">
        <v>2018</v>
      </c>
      <c r="C68" t="s">
        <v>23</v>
      </c>
      <c r="D68">
        <v>6681232</v>
      </c>
      <c r="E68">
        <v>7612268</v>
      </c>
      <c r="G68">
        <v>2139</v>
      </c>
      <c r="H68">
        <f t="shared" si="1"/>
        <v>14293500</v>
      </c>
    </row>
    <row r="69" spans="1:8" x14ac:dyDescent="0.3">
      <c r="A69" t="s">
        <v>6</v>
      </c>
      <c r="B69">
        <v>2018</v>
      </c>
      <c r="C69" t="s">
        <v>24</v>
      </c>
      <c r="D69">
        <v>5733115</v>
      </c>
      <c r="E69">
        <v>6977349</v>
      </c>
      <c r="G69">
        <v>1760</v>
      </c>
      <c r="H69">
        <f t="shared" si="1"/>
        <v>12710464</v>
      </c>
    </row>
    <row r="70" spans="1:8" x14ac:dyDescent="0.3">
      <c r="A70" t="s">
        <v>6</v>
      </c>
      <c r="B70">
        <v>2019</v>
      </c>
      <c r="C70" t="s">
        <v>9</v>
      </c>
      <c r="D70">
        <v>61184852</v>
      </c>
      <c r="E70">
        <v>55596970</v>
      </c>
      <c r="F70">
        <v>24322245</v>
      </c>
      <c r="G70">
        <f>4166856+314301</f>
        <v>4481157</v>
      </c>
      <c r="H70">
        <f t="shared" si="1"/>
        <v>141104067</v>
      </c>
    </row>
    <row r="71" spans="1:8" x14ac:dyDescent="0.3">
      <c r="A71" t="s">
        <v>6</v>
      </c>
      <c r="B71">
        <v>2019</v>
      </c>
      <c r="C71" t="s">
        <v>10</v>
      </c>
      <c r="D71">
        <v>62910580</v>
      </c>
      <c r="E71">
        <v>57039427</v>
      </c>
      <c r="G71">
        <v>2864872</v>
      </c>
      <c r="H71">
        <f t="shared" si="1"/>
        <v>119950007</v>
      </c>
    </row>
    <row r="72" spans="1:8" x14ac:dyDescent="0.3">
      <c r="A72" t="s">
        <v>6</v>
      </c>
      <c r="B72">
        <v>2019</v>
      </c>
      <c r="C72" t="s">
        <v>11</v>
      </c>
      <c r="D72">
        <v>66812183</v>
      </c>
      <c r="E72">
        <v>60172728</v>
      </c>
      <c r="G72">
        <v>1043212</v>
      </c>
      <c r="H72">
        <f t="shared" si="1"/>
        <v>126984911</v>
      </c>
    </row>
    <row r="73" spans="1:8" x14ac:dyDescent="0.3">
      <c r="A73" t="s">
        <v>6</v>
      </c>
      <c r="B73">
        <v>2019</v>
      </c>
      <c r="C73" t="s">
        <v>12</v>
      </c>
      <c r="D73">
        <v>66525044</v>
      </c>
      <c r="E73">
        <v>59164382</v>
      </c>
      <c r="G73">
        <v>448821</v>
      </c>
      <c r="H73">
        <f t="shared" si="1"/>
        <v>125689426</v>
      </c>
    </row>
    <row r="74" spans="1:8" x14ac:dyDescent="0.3">
      <c r="A74" t="s">
        <v>6</v>
      </c>
      <c r="B74">
        <v>2019</v>
      </c>
      <c r="C74" t="s">
        <v>13</v>
      </c>
      <c r="D74">
        <v>64478247</v>
      </c>
      <c r="E74">
        <v>57319089</v>
      </c>
      <c r="G74">
        <v>299843</v>
      </c>
      <c r="H74">
        <f t="shared" si="1"/>
        <v>121797336</v>
      </c>
    </row>
    <row r="75" spans="1:8" x14ac:dyDescent="0.3">
      <c r="A75" t="s">
        <v>6</v>
      </c>
      <c r="B75">
        <v>2019</v>
      </c>
      <c r="C75" t="s">
        <v>14</v>
      </c>
      <c r="D75">
        <v>61604481</v>
      </c>
      <c r="E75">
        <v>55079640</v>
      </c>
      <c r="G75">
        <v>233845</v>
      </c>
      <c r="H75">
        <f t="shared" si="1"/>
        <v>116684121</v>
      </c>
    </row>
    <row r="76" spans="1:8" x14ac:dyDescent="0.3">
      <c r="A76" t="s">
        <v>6</v>
      </c>
      <c r="B76">
        <v>2019</v>
      </c>
      <c r="C76" t="s">
        <v>15</v>
      </c>
      <c r="D76">
        <v>58243202</v>
      </c>
      <c r="E76">
        <v>52817775</v>
      </c>
      <c r="G76">
        <v>198992</v>
      </c>
      <c r="H76">
        <f t="shared" si="1"/>
        <v>111060977</v>
      </c>
    </row>
    <row r="77" spans="1:8" x14ac:dyDescent="0.3">
      <c r="A77" t="s">
        <v>6</v>
      </c>
      <c r="B77">
        <v>2019</v>
      </c>
      <c r="C77" t="s">
        <v>16</v>
      </c>
      <c r="D77">
        <v>52838830</v>
      </c>
      <c r="E77">
        <v>48499876</v>
      </c>
      <c r="G77">
        <v>98999</v>
      </c>
      <c r="H77">
        <f t="shared" si="1"/>
        <v>101338706</v>
      </c>
    </row>
    <row r="78" spans="1:8" x14ac:dyDescent="0.3">
      <c r="A78" t="s">
        <v>6</v>
      </c>
      <c r="B78">
        <v>2019</v>
      </c>
      <c r="C78" t="s">
        <v>34</v>
      </c>
      <c r="D78">
        <v>45523908</v>
      </c>
      <c r="E78">
        <v>42635961</v>
      </c>
      <c r="G78">
        <v>84778</v>
      </c>
      <c r="H78">
        <f t="shared" si="1"/>
        <v>88159869</v>
      </c>
    </row>
    <row r="79" spans="1:8" x14ac:dyDescent="0.3">
      <c r="A79" t="s">
        <v>6</v>
      </c>
      <c r="B79">
        <v>2019</v>
      </c>
      <c r="C79" t="s">
        <v>17</v>
      </c>
      <c r="D79">
        <v>39881404</v>
      </c>
      <c r="E79">
        <v>37840217</v>
      </c>
      <c r="G79">
        <v>47689</v>
      </c>
      <c r="H79">
        <f t="shared" si="1"/>
        <v>77721621</v>
      </c>
    </row>
    <row r="80" spans="1:8" x14ac:dyDescent="0.3">
      <c r="A80" t="s">
        <v>6</v>
      </c>
      <c r="B80">
        <v>2019</v>
      </c>
      <c r="C80" t="s">
        <v>18</v>
      </c>
      <c r="D80">
        <v>34484803</v>
      </c>
      <c r="E80">
        <v>32947978</v>
      </c>
      <c r="G80">
        <v>44789</v>
      </c>
      <c r="H80">
        <f t="shared" si="1"/>
        <v>67432781</v>
      </c>
    </row>
    <row r="81" spans="1:8" x14ac:dyDescent="0.3">
      <c r="A81" t="s">
        <v>6</v>
      </c>
      <c r="B81">
        <v>2019</v>
      </c>
      <c r="C81" t="s">
        <v>19</v>
      </c>
      <c r="D81">
        <v>29500956</v>
      </c>
      <c r="E81">
        <v>28445217</v>
      </c>
      <c r="G81">
        <v>34765</v>
      </c>
      <c r="H81">
        <f t="shared" si="1"/>
        <v>57946173</v>
      </c>
    </row>
    <row r="82" spans="1:8" x14ac:dyDescent="0.3">
      <c r="A82" t="s">
        <v>6</v>
      </c>
      <c r="B82">
        <v>2019</v>
      </c>
      <c r="C82" t="s">
        <v>20</v>
      </c>
      <c r="D82">
        <v>24129236</v>
      </c>
      <c r="E82">
        <v>23591764</v>
      </c>
      <c r="G82">
        <v>24312</v>
      </c>
      <c r="H82">
        <f t="shared" si="1"/>
        <v>47721000</v>
      </c>
    </row>
    <row r="83" spans="1:8" x14ac:dyDescent="0.3">
      <c r="A83" t="s">
        <v>6</v>
      </c>
      <c r="B83">
        <v>2019</v>
      </c>
      <c r="C83" t="s">
        <v>21</v>
      </c>
      <c r="D83">
        <v>18287177</v>
      </c>
      <c r="E83">
        <v>18288098</v>
      </c>
      <c r="G83">
        <v>19882</v>
      </c>
      <c r="H83">
        <f t="shared" si="1"/>
        <v>36575275</v>
      </c>
    </row>
    <row r="84" spans="1:8" x14ac:dyDescent="0.3">
      <c r="A84" t="s">
        <v>6</v>
      </c>
      <c r="B84">
        <v>2019</v>
      </c>
      <c r="C84" t="s">
        <v>22</v>
      </c>
      <c r="D84">
        <v>10982591</v>
      </c>
      <c r="E84">
        <v>11861814</v>
      </c>
      <c r="G84">
        <v>4002</v>
      </c>
      <c r="H84">
        <f t="shared" si="1"/>
        <v>22844405</v>
      </c>
    </row>
    <row r="85" spans="1:8" x14ac:dyDescent="0.3">
      <c r="A85" t="s">
        <v>6</v>
      </c>
      <c r="B85">
        <v>2019</v>
      </c>
      <c r="C85" t="s">
        <v>23</v>
      </c>
      <c r="D85">
        <v>6861862</v>
      </c>
      <c r="E85">
        <v>7794418</v>
      </c>
      <c r="G85">
        <v>2139</v>
      </c>
      <c r="H85">
        <f t="shared" si="1"/>
        <v>14656280</v>
      </c>
    </row>
    <row r="86" spans="1:8" x14ac:dyDescent="0.3">
      <c r="A86" t="s">
        <v>6</v>
      </c>
      <c r="B86">
        <v>2019</v>
      </c>
      <c r="C86" t="s">
        <v>24</v>
      </c>
      <c r="D86">
        <v>5880216</v>
      </c>
      <c r="E86">
        <v>7192830</v>
      </c>
      <c r="G86">
        <v>1760</v>
      </c>
      <c r="H86">
        <f t="shared" si="1"/>
        <v>13073046</v>
      </c>
    </row>
    <row r="87" spans="1:8" x14ac:dyDescent="0.3">
      <c r="A87" t="s">
        <v>25</v>
      </c>
      <c r="B87">
        <v>2015</v>
      </c>
      <c r="C87" t="s">
        <v>9</v>
      </c>
      <c r="D87">
        <v>10184899</v>
      </c>
      <c r="E87">
        <v>9735456</v>
      </c>
      <c r="F87">
        <v>3978420</v>
      </c>
      <c r="G87">
        <v>1998429</v>
      </c>
      <c r="H87">
        <f t="shared" si="1"/>
        <v>23898775</v>
      </c>
    </row>
    <row r="88" spans="1:8" x14ac:dyDescent="0.3">
      <c r="A88" t="s">
        <v>25</v>
      </c>
      <c r="B88">
        <v>2015</v>
      </c>
      <c r="C88" t="s">
        <v>10</v>
      </c>
      <c r="D88">
        <v>10728396</v>
      </c>
      <c r="E88">
        <v>10257874</v>
      </c>
      <c r="G88">
        <v>99568</v>
      </c>
      <c r="H88">
        <f t="shared" si="1"/>
        <v>20986270</v>
      </c>
    </row>
    <row r="89" spans="1:8" x14ac:dyDescent="0.3">
      <c r="A89" t="s">
        <v>25</v>
      </c>
      <c r="B89">
        <v>2015</v>
      </c>
      <c r="C89" t="s">
        <v>11</v>
      </c>
      <c r="D89">
        <v>10596734</v>
      </c>
      <c r="E89">
        <v>10134668</v>
      </c>
      <c r="G89">
        <v>8599</v>
      </c>
      <c r="H89">
        <f t="shared" si="1"/>
        <v>20731402</v>
      </c>
    </row>
    <row r="90" spans="1:8" x14ac:dyDescent="0.3">
      <c r="A90" t="s">
        <v>25</v>
      </c>
      <c r="B90">
        <v>2015</v>
      </c>
      <c r="C90" t="s">
        <v>12</v>
      </c>
      <c r="D90">
        <v>10924899</v>
      </c>
      <c r="E90">
        <v>10468941</v>
      </c>
      <c r="G90">
        <v>8899</v>
      </c>
      <c r="H90">
        <f t="shared" si="1"/>
        <v>21393840</v>
      </c>
    </row>
    <row r="91" spans="1:8" x14ac:dyDescent="0.3">
      <c r="A91" t="s">
        <v>25</v>
      </c>
      <c r="B91">
        <v>2015</v>
      </c>
      <c r="C91" t="s">
        <v>13</v>
      </c>
      <c r="D91">
        <v>11799613</v>
      </c>
      <c r="E91">
        <v>11270986</v>
      </c>
      <c r="G91">
        <v>5898</v>
      </c>
      <c r="H91">
        <f t="shared" si="1"/>
        <v>23070599</v>
      </c>
    </row>
    <row r="92" spans="1:8" x14ac:dyDescent="0.3">
      <c r="A92" t="s">
        <v>25</v>
      </c>
      <c r="B92">
        <v>2015</v>
      </c>
      <c r="C92" t="s">
        <v>14</v>
      </c>
      <c r="D92">
        <v>11473149</v>
      </c>
      <c r="E92">
        <v>11062072</v>
      </c>
      <c r="G92">
        <v>9865</v>
      </c>
      <c r="H92">
        <f t="shared" si="1"/>
        <v>22535221</v>
      </c>
    </row>
    <row r="93" spans="1:8" x14ac:dyDescent="0.3">
      <c r="A93" t="s">
        <v>25</v>
      </c>
      <c r="B93">
        <v>2015</v>
      </c>
      <c r="C93" t="s">
        <v>15</v>
      </c>
      <c r="D93">
        <v>10737448</v>
      </c>
      <c r="E93">
        <v>10589430</v>
      </c>
      <c r="G93">
        <v>85890</v>
      </c>
      <c r="H93">
        <f t="shared" si="1"/>
        <v>21326878</v>
      </c>
    </row>
    <row r="94" spans="1:8" x14ac:dyDescent="0.3">
      <c r="A94" t="s">
        <v>25</v>
      </c>
      <c r="B94">
        <v>2015</v>
      </c>
      <c r="C94" t="s">
        <v>16</v>
      </c>
      <c r="D94">
        <v>10083207</v>
      </c>
      <c r="E94">
        <v>10098564</v>
      </c>
      <c r="G94">
        <v>78988</v>
      </c>
      <c r="H94">
        <f t="shared" si="1"/>
        <v>20181771</v>
      </c>
    </row>
    <row r="95" spans="1:8" x14ac:dyDescent="0.3">
      <c r="A95" t="s">
        <v>25</v>
      </c>
      <c r="B95">
        <v>2015</v>
      </c>
      <c r="C95" t="s">
        <v>34</v>
      </c>
      <c r="D95">
        <v>10020106</v>
      </c>
      <c r="E95">
        <v>10087492</v>
      </c>
      <c r="G95">
        <v>88657</v>
      </c>
      <c r="H95">
        <f t="shared" si="1"/>
        <v>20107598</v>
      </c>
    </row>
    <row r="96" spans="1:8" x14ac:dyDescent="0.3">
      <c r="A96" t="s">
        <v>25</v>
      </c>
      <c r="B96">
        <v>2015</v>
      </c>
      <c r="C96" t="s">
        <v>17</v>
      </c>
      <c r="D96">
        <v>10496582</v>
      </c>
      <c r="E96">
        <v>10352448</v>
      </c>
      <c r="G96">
        <v>99865</v>
      </c>
      <c r="H96">
        <f t="shared" si="1"/>
        <v>20849030</v>
      </c>
    </row>
    <row r="97" spans="1:8" x14ac:dyDescent="0.3">
      <c r="A97" t="s">
        <v>25</v>
      </c>
      <c r="B97">
        <v>2015</v>
      </c>
      <c r="C97" t="s">
        <v>18</v>
      </c>
      <c r="D97">
        <v>11061340</v>
      </c>
      <c r="E97">
        <v>11053353</v>
      </c>
      <c r="G97">
        <v>98799</v>
      </c>
      <c r="H97">
        <f t="shared" si="1"/>
        <v>22114693</v>
      </c>
    </row>
    <row r="98" spans="1:8" x14ac:dyDescent="0.3">
      <c r="A98" t="s">
        <v>25</v>
      </c>
      <c r="B98">
        <v>2015</v>
      </c>
      <c r="C98" t="s">
        <v>19</v>
      </c>
      <c r="D98">
        <v>10593507</v>
      </c>
      <c r="E98">
        <v>10952974</v>
      </c>
      <c r="G98">
        <v>88002</v>
      </c>
      <c r="H98">
        <f t="shared" si="1"/>
        <v>21546481</v>
      </c>
    </row>
    <row r="99" spans="1:8" x14ac:dyDescent="0.3">
      <c r="A99" t="s">
        <v>25</v>
      </c>
      <c r="B99">
        <v>2015</v>
      </c>
      <c r="C99" t="s">
        <v>20</v>
      </c>
      <c r="D99">
        <v>9130107</v>
      </c>
      <c r="E99">
        <v>9790678</v>
      </c>
      <c r="G99">
        <v>28900</v>
      </c>
      <c r="H99">
        <f t="shared" si="1"/>
        <v>18920785</v>
      </c>
    </row>
    <row r="100" spans="1:8" x14ac:dyDescent="0.3">
      <c r="A100" t="s">
        <v>25</v>
      </c>
      <c r="B100">
        <v>2015</v>
      </c>
      <c r="C100" t="s">
        <v>21</v>
      </c>
      <c r="D100">
        <v>7411294</v>
      </c>
      <c r="E100">
        <v>8279170</v>
      </c>
      <c r="G100">
        <v>8459</v>
      </c>
      <c r="H100">
        <f t="shared" si="1"/>
        <v>15690464</v>
      </c>
    </row>
    <row r="101" spans="1:8" x14ac:dyDescent="0.3">
      <c r="A101" t="s">
        <v>25</v>
      </c>
      <c r="B101">
        <v>2015</v>
      </c>
      <c r="C101" t="s">
        <v>22</v>
      </c>
      <c r="D101">
        <v>5114884</v>
      </c>
      <c r="E101">
        <v>6066532</v>
      </c>
      <c r="G101">
        <v>2065</v>
      </c>
      <c r="H101">
        <f t="shared" si="1"/>
        <v>11181416</v>
      </c>
    </row>
    <row r="102" spans="1:8" x14ac:dyDescent="0.3">
      <c r="A102" t="s">
        <v>25</v>
      </c>
      <c r="B102">
        <v>2015</v>
      </c>
      <c r="C102" t="s">
        <v>23</v>
      </c>
      <c r="D102">
        <v>3667350</v>
      </c>
      <c r="E102">
        <v>4444190</v>
      </c>
      <c r="G102">
        <v>1190</v>
      </c>
      <c r="H102">
        <f t="shared" si="1"/>
        <v>8111540</v>
      </c>
    </row>
    <row r="103" spans="1:8" x14ac:dyDescent="0.3">
      <c r="A103" t="s">
        <v>25</v>
      </c>
      <c r="B103">
        <v>2015</v>
      </c>
      <c r="C103" t="s">
        <v>24</v>
      </c>
      <c r="D103">
        <v>4568339</v>
      </c>
      <c r="E103">
        <v>7398480</v>
      </c>
      <c r="G103">
        <v>557</v>
      </c>
      <c r="H103">
        <f t="shared" si="1"/>
        <v>11966819</v>
      </c>
    </row>
    <row r="104" spans="1:8" x14ac:dyDescent="0.3">
      <c r="A104" t="s">
        <v>25</v>
      </c>
      <c r="B104">
        <v>2016</v>
      </c>
      <c r="C104" t="s">
        <v>9</v>
      </c>
      <c r="D104">
        <v>10016952</v>
      </c>
      <c r="E104">
        <v>9573695</v>
      </c>
      <c r="F104">
        <v>3941109</v>
      </c>
      <c r="G104">
        <f>1998429+31618</f>
        <v>2030047</v>
      </c>
      <c r="H104">
        <f t="shared" si="1"/>
        <v>23531756</v>
      </c>
    </row>
    <row r="105" spans="1:8" x14ac:dyDescent="0.3">
      <c r="A105" t="s">
        <v>25</v>
      </c>
      <c r="B105">
        <v>2016</v>
      </c>
      <c r="C105" t="s">
        <v>10</v>
      </c>
      <c r="D105">
        <v>10724140</v>
      </c>
      <c r="E105">
        <v>10253241</v>
      </c>
      <c r="G105">
        <v>99568</v>
      </c>
      <c r="H105">
        <f t="shared" si="1"/>
        <v>20977381</v>
      </c>
    </row>
    <row r="106" spans="1:8" x14ac:dyDescent="0.3">
      <c r="A106" t="s">
        <v>25</v>
      </c>
      <c r="B106">
        <v>2016</v>
      </c>
      <c r="C106" t="s">
        <v>11</v>
      </c>
      <c r="D106">
        <v>10663777</v>
      </c>
      <c r="E106">
        <v>10202485</v>
      </c>
      <c r="G106">
        <v>8599</v>
      </c>
      <c r="H106">
        <f t="shared" si="1"/>
        <v>20866262</v>
      </c>
    </row>
    <row r="107" spans="1:8" x14ac:dyDescent="0.3">
      <c r="A107" t="s">
        <v>25</v>
      </c>
      <c r="B107">
        <v>2016</v>
      </c>
      <c r="C107" t="s">
        <v>12</v>
      </c>
      <c r="D107">
        <v>10884673</v>
      </c>
      <c r="E107">
        <v>10446661</v>
      </c>
      <c r="G107">
        <v>8899</v>
      </c>
      <c r="H107">
        <f t="shared" si="1"/>
        <v>21331334</v>
      </c>
    </row>
    <row r="108" spans="1:8" x14ac:dyDescent="0.3">
      <c r="A108" t="s">
        <v>25</v>
      </c>
      <c r="B108">
        <v>2016</v>
      </c>
      <c r="C108" t="s">
        <v>13</v>
      </c>
      <c r="D108">
        <v>11783886</v>
      </c>
      <c r="E108">
        <v>11272839</v>
      </c>
      <c r="G108">
        <v>5898</v>
      </c>
      <c r="H108">
        <f t="shared" si="1"/>
        <v>23056725</v>
      </c>
    </row>
    <row r="109" spans="1:8" x14ac:dyDescent="0.3">
      <c r="A109" t="s">
        <v>25</v>
      </c>
      <c r="B109">
        <v>2016</v>
      </c>
      <c r="C109" t="s">
        <v>14</v>
      </c>
      <c r="D109">
        <v>11663748</v>
      </c>
      <c r="E109">
        <v>11223441</v>
      </c>
      <c r="G109">
        <v>9865</v>
      </c>
      <c r="H109">
        <f t="shared" si="1"/>
        <v>22887189</v>
      </c>
    </row>
    <row r="110" spans="1:8" x14ac:dyDescent="0.3">
      <c r="A110" t="s">
        <v>25</v>
      </c>
      <c r="B110">
        <v>2016</v>
      </c>
      <c r="C110" t="s">
        <v>15</v>
      </c>
      <c r="D110">
        <v>10937125</v>
      </c>
      <c r="E110">
        <v>10747293</v>
      </c>
      <c r="G110">
        <v>85890</v>
      </c>
      <c r="H110">
        <f t="shared" si="1"/>
        <v>21684418</v>
      </c>
    </row>
    <row r="111" spans="1:8" x14ac:dyDescent="0.3">
      <c r="A111" t="s">
        <v>25</v>
      </c>
      <c r="B111">
        <v>2016</v>
      </c>
      <c r="C111" t="s">
        <v>16</v>
      </c>
      <c r="D111">
        <v>10200578</v>
      </c>
      <c r="E111">
        <v>10197576</v>
      </c>
      <c r="G111">
        <v>78988</v>
      </c>
      <c r="H111">
        <f t="shared" si="1"/>
        <v>20398154</v>
      </c>
    </row>
    <row r="112" spans="1:8" x14ac:dyDescent="0.3">
      <c r="A112" t="s">
        <v>25</v>
      </c>
      <c r="B112">
        <v>2016</v>
      </c>
      <c r="C112" t="s">
        <v>34</v>
      </c>
      <c r="D112">
        <v>9989633</v>
      </c>
      <c r="E112">
        <v>10080276</v>
      </c>
      <c r="G112">
        <v>88657</v>
      </c>
      <c r="H112">
        <f t="shared" si="1"/>
        <v>20069909</v>
      </c>
    </row>
    <row r="113" spans="1:8" x14ac:dyDescent="0.3">
      <c r="A113" t="s">
        <v>25</v>
      </c>
      <c r="B113">
        <v>2016</v>
      </c>
      <c r="C113" t="s">
        <v>17</v>
      </c>
      <c r="D113">
        <v>10355761</v>
      </c>
      <c r="E113">
        <v>10250825</v>
      </c>
      <c r="G113">
        <v>99865</v>
      </c>
      <c r="H113">
        <f t="shared" si="1"/>
        <v>20606586</v>
      </c>
    </row>
    <row r="114" spans="1:8" x14ac:dyDescent="0.3">
      <c r="A114" t="s">
        <v>25</v>
      </c>
      <c r="B114">
        <v>2016</v>
      </c>
      <c r="C114" t="s">
        <v>18</v>
      </c>
      <c r="D114">
        <v>10960188</v>
      </c>
      <c r="E114">
        <v>10924304</v>
      </c>
      <c r="G114">
        <v>98799</v>
      </c>
      <c r="H114">
        <f t="shared" si="1"/>
        <v>21884492</v>
      </c>
    </row>
    <row r="115" spans="1:8" x14ac:dyDescent="0.3">
      <c r="A115" t="s">
        <v>25</v>
      </c>
      <c r="B115">
        <v>2016</v>
      </c>
      <c r="C115" t="s">
        <v>19</v>
      </c>
      <c r="D115">
        <v>10691633</v>
      </c>
      <c r="E115">
        <v>11015609</v>
      </c>
      <c r="G115">
        <v>88002</v>
      </c>
      <c r="H115">
        <f t="shared" si="1"/>
        <v>21707242</v>
      </c>
    </row>
    <row r="116" spans="1:8" x14ac:dyDescent="0.3">
      <c r="A116" t="s">
        <v>25</v>
      </c>
      <c r="B116">
        <v>2016</v>
      </c>
      <c r="C116" t="s">
        <v>20</v>
      </c>
      <c r="D116">
        <v>9339147</v>
      </c>
      <c r="E116">
        <v>9991870</v>
      </c>
      <c r="G116">
        <v>28900</v>
      </c>
      <c r="H116">
        <f t="shared" si="1"/>
        <v>19331017</v>
      </c>
    </row>
    <row r="117" spans="1:8" x14ac:dyDescent="0.3">
      <c r="A117" t="s">
        <v>25</v>
      </c>
      <c r="B117">
        <v>2016</v>
      </c>
      <c r="C117" t="s">
        <v>21</v>
      </c>
      <c r="D117">
        <v>7672057</v>
      </c>
      <c r="E117">
        <v>8547554</v>
      </c>
      <c r="G117">
        <v>8459</v>
      </c>
      <c r="H117">
        <f t="shared" si="1"/>
        <v>16219611</v>
      </c>
    </row>
    <row r="118" spans="1:8" x14ac:dyDescent="0.3">
      <c r="A118" t="s">
        <v>25</v>
      </c>
      <c r="B118">
        <v>2016</v>
      </c>
      <c r="C118" t="s">
        <v>22</v>
      </c>
      <c r="D118">
        <v>5379510</v>
      </c>
      <c r="E118">
        <v>6367360</v>
      </c>
      <c r="G118">
        <v>2065</v>
      </c>
      <c r="H118">
        <f t="shared" si="1"/>
        <v>11746870</v>
      </c>
    </row>
    <row r="119" spans="1:8" x14ac:dyDescent="0.3">
      <c r="A119" t="s">
        <v>25</v>
      </c>
      <c r="B119">
        <v>2016</v>
      </c>
      <c r="C119" t="s">
        <v>23</v>
      </c>
      <c r="D119">
        <v>3763025</v>
      </c>
      <c r="E119">
        <v>4573667</v>
      </c>
      <c r="G119">
        <v>1190</v>
      </c>
      <c r="H119">
        <f t="shared" si="1"/>
        <v>8336692</v>
      </c>
    </row>
    <row r="120" spans="1:8" x14ac:dyDescent="0.3">
      <c r="A120" t="s">
        <v>25</v>
      </c>
      <c r="B120">
        <v>2016</v>
      </c>
      <c r="C120" t="s">
        <v>24</v>
      </c>
      <c r="D120">
        <v>4735454</v>
      </c>
      <c r="E120">
        <v>7511330</v>
      </c>
      <c r="G120">
        <v>557</v>
      </c>
      <c r="H120">
        <f t="shared" si="1"/>
        <v>12246784</v>
      </c>
    </row>
    <row r="121" spans="1:8" x14ac:dyDescent="0.3">
      <c r="A121" t="s">
        <v>25</v>
      </c>
      <c r="B121">
        <v>2017</v>
      </c>
      <c r="C121" t="s">
        <v>9</v>
      </c>
      <c r="D121">
        <v>9953770</v>
      </c>
      <c r="E121">
        <v>9515068</v>
      </c>
      <c r="F121">
        <v>3855512</v>
      </c>
      <c r="G121">
        <f>1998429+100873</f>
        <v>2099302</v>
      </c>
      <c r="H121">
        <f t="shared" si="1"/>
        <v>23324350</v>
      </c>
    </row>
    <row r="122" spans="1:8" x14ac:dyDescent="0.3">
      <c r="A122" t="s">
        <v>25</v>
      </c>
      <c r="B122">
        <v>2017</v>
      </c>
      <c r="C122" t="s">
        <v>10</v>
      </c>
      <c r="D122">
        <v>10649052</v>
      </c>
      <c r="E122">
        <v>10181137</v>
      </c>
      <c r="G122">
        <v>99568</v>
      </c>
      <c r="H122">
        <f t="shared" si="1"/>
        <v>20830189</v>
      </c>
    </row>
    <row r="123" spans="1:8" x14ac:dyDescent="0.3">
      <c r="A123" t="s">
        <v>25</v>
      </c>
      <c r="B123">
        <v>2017</v>
      </c>
      <c r="C123" t="s">
        <v>11</v>
      </c>
      <c r="D123">
        <v>10724856</v>
      </c>
      <c r="E123">
        <v>10263671</v>
      </c>
      <c r="G123">
        <v>8599</v>
      </c>
      <c r="H123">
        <f t="shared" si="1"/>
        <v>20988527</v>
      </c>
    </row>
    <row r="124" spans="1:8" x14ac:dyDescent="0.3">
      <c r="A124" t="s">
        <v>25</v>
      </c>
      <c r="B124">
        <v>2017</v>
      </c>
      <c r="C124" t="s">
        <v>12</v>
      </c>
      <c r="D124">
        <v>10855224</v>
      </c>
      <c r="E124">
        <v>10427870</v>
      </c>
      <c r="G124">
        <v>8899</v>
      </c>
      <c r="H124">
        <f t="shared" si="1"/>
        <v>21283094</v>
      </c>
    </row>
    <row r="125" spans="1:8" x14ac:dyDescent="0.3">
      <c r="A125" t="s">
        <v>25</v>
      </c>
      <c r="B125">
        <v>2017</v>
      </c>
      <c r="C125" t="s">
        <v>13</v>
      </c>
      <c r="D125">
        <v>11687942</v>
      </c>
      <c r="E125">
        <v>11207162</v>
      </c>
      <c r="G125">
        <v>5898</v>
      </c>
      <c r="H125">
        <f t="shared" si="1"/>
        <v>22895104</v>
      </c>
    </row>
    <row r="126" spans="1:8" x14ac:dyDescent="0.3">
      <c r="A126" t="s">
        <v>25</v>
      </c>
      <c r="B126">
        <v>2017</v>
      </c>
      <c r="C126" t="s">
        <v>14</v>
      </c>
      <c r="D126">
        <v>11840909</v>
      </c>
      <c r="E126">
        <v>11381649</v>
      </c>
      <c r="G126">
        <v>9865</v>
      </c>
      <c r="H126">
        <f t="shared" si="1"/>
        <v>23222558</v>
      </c>
    </row>
    <row r="127" spans="1:8" x14ac:dyDescent="0.3">
      <c r="A127" t="s">
        <v>25</v>
      </c>
      <c r="B127">
        <v>2017</v>
      </c>
      <c r="C127" t="s">
        <v>15</v>
      </c>
      <c r="D127">
        <v>11127907</v>
      </c>
      <c r="E127">
        <v>10892876</v>
      </c>
      <c r="G127">
        <v>85890</v>
      </c>
      <c r="H127">
        <f t="shared" si="1"/>
        <v>22020783</v>
      </c>
    </row>
    <row r="128" spans="1:8" x14ac:dyDescent="0.3">
      <c r="A128" t="s">
        <v>25</v>
      </c>
      <c r="B128">
        <v>2017</v>
      </c>
      <c r="C128" t="s">
        <v>16</v>
      </c>
      <c r="D128">
        <v>10336572</v>
      </c>
      <c r="E128">
        <v>10314819</v>
      </c>
      <c r="G128">
        <v>78988</v>
      </c>
      <c r="H128">
        <f t="shared" si="1"/>
        <v>20651391</v>
      </c>
    </row>
    <row r="129" spans="1:8" x14ac:dyDescent="0.3">
      <c r="A129" t="s">
        <v>25</v>
      </c>
      <c r="B129">
        <v>2017</v>
      </c>
      <c r="C129" t="s">
        <v>34</v>
      </c>
      <c r="D129">
        <v>9972655</v>
      </c>
      <c r="E129">
        <v>10071874</v>
      </c>
      <c r="G129">
        <v>88657</v>
      </c>
      <c r="H129">
        <f t="shared" si="1"/>
        <v>20044529</v>
      </c>
    </row>
    <row r="130" spans="1:8" x14ac:dyDescent="0.3">
      <c r="A130" t="s">
        <v>25</v>
      </c>
      <c r="B130">
        <v>2017</v>
      </c>
      <c r="C130" t="s">
        <v>17</v>
      </c>
      <c r="D130">
        <v>10224087</v>
      </c>
      <c r="E130">
        <v>10177267</v>
      </c>
      <c r="G130">
        <v>99865</v>
      </c>
      <c r="H130">
        <f t="shared" ref="H130:H193" si="2">SUM(D130:F130)</f>
        <v>20401354</v>
      </c>
    </row>
    <row r="131" spans="1:8" x14ac:dyDescent="0.3">
      <c r="A131" t="s">
        <v>25</v>
      </c>
      <c r="B131">
        <v>2017</v>
      </c>
      <c r="C131" t="s">
        <v>18</v>
      </c>
      <c r="D131">
        <v>10810461</v>
      </c>
      <c r="E131">
        <v>10751245</v>
      </c>
      <c r="G131">
        <v>98799</v>
      </c>
      <c r="H131">
        <f t="shared" si="2"/>
        <v>21561706</v>
      </c>
    </row>
    <row r="132" spans="1:8" x14ac:dyDescent="0.3">
      <c r="A132" t="s">
        <v>25</v>
      </c>
      <c r="B132">
        <v>2017</v>
      </c>
      <c r="C132" t="s">
        <v>19</v>
      </c>
      <c r="D132">
        <v>10746921</v>
      </c>
      <c r="E132">
        <v>11027131</v>
      </c>
      <c r="G132">
        <v>88002</v>
      </c>
      <c r="H132">
        <f t="shared" si="2"/>
        <v>21774052</v>
      </c>
    </row>
    <row r="133" spans="1:8" x14ac:dyDescent="0.3">
      <c r="A133" t="s">
        <v>25</v>
      </c>
      <c r="B133">
        <v>2017</v>
      </c>
      <c r="C133" t="s">
        <v>20</v>
      </c>
      <c r="D133">
        <v>9543422</v>
      </c>
      <c r="E133">
        <v>10185704</v>
      </c>
      <c r="G133">
        <v>28900</v>
      </c>
      <c r="H133">
        <f t="shared" si="2"/>
        <v>19729126</v>
      </c>
    </row>
    <row r="134" spans="1:8" x14ac:dyDescent="0.3">
      <c r="A134" t="s">
        <v>25</v>
      </c>
      <c r="B134">
        <v>2017</v>
      </c>
      <c r="C134" t="s">
        <v>21</v>
      </c>
      <c r="D134">
        <v>7884787</v>
      </c>
      <c r="E134">
        <v>8767454</v>
      </c>
      <c r="G134">
        <v>8459</v>
      </c>
      <c r="H134">
        <f t="shared" si="2"/>
        <v>16652241</v>
      </c>
    </row>
    <row r="135" spans="1:8" x14ac:dyDescent="0.3">
      <c r="A135" t="s">
        <v>25</v>
      </c>
      <c r="B135">
        <v>2017</v>
      </c>
      <c r="C135" t="s">
        <v>22</v>
      </c>
      <c r="D135">
        <v>5629444</v>
      </c>
      <c r="E135">
        <v>6704090</v>
      </c>
      <c r="G135">
        <v>2065</v>
      </c>
      <c r="H135">
        <f t="shared" si="2"/>
        <v>12333534</v>
      </c>
    </row>
    <row r="136" spans="1:8" x14ac:dyDescent="0.3">
      <c r="A136" t="s">
        <v>25</v>
      </c>
      <c r="B136">
        <v>2017</v>
      </c>
      <c r="C136" t="s">
        <v>23</v>
      </c>
      <c r="D136">
        <v>3854099</v>
      </c>
      <c r="E136">
        <v>4725780</v>
      </c>
      <c r="G136">
        <v>1190</v>
      </c>
      <c r="H136">
        <f t="shared" si="2"/>
        <v>8579879</v>
      </c>
    </row>
    <row r="137" spans="1:8" x14ac:dyDescent="0.3">
      <c r="A137" t="s">
        <v>25</v>
      </c>
      <c r="B137">
        <v>2017</v>
      </c>
      <c r="C137" t="s">
        <v>24</v>
      </c>
      <c r="D137">
        <v>4883146</v>
      </c>
      <c r="E137">
        <v>7598866</v>
      </c>
      <c r="G137">
        <v>557</v>
      </c>
      <c r="H137">
        <f t="shared" si="2"/>
        <v>12482012</v>
      </c>
    </row>
    <row r="138" spans="1:8" x14ac:dyDescent="0.3">
      <c r="A138" t="s">
        <v>25</v>
      </c>
      <c r="B138">
        <v>2018</v>
      </c>
      <c r="C138" t="s">
        <v>9</v>
      </c>
      <c r="D138">
        <v>9961285</v>
      </c>
      <c r="E138">
        <v>9525853</v>
      </c>
      <c r="F138">
        <v>3791712</v>
      </c>
      <c r="G138">
        <f>1998429+126575</f>
        <v>2125004</v>
      </c>
      <c r="H138">
        <f t="shared" si="2"/>
        <v>23278850</v>
      </c>
    </row>
    <row r="139" spans="1:8" x14ac:dyDescent="0.3">
      <c r="A139" t="s">
        <v>25</v>
      </c>
      <c r="B139">
        <v>2018</v>
      </c>
      <c r="C139" t="s">
        <v>10</v>
      </c>
      <c r="D139">
        <v>10509587</v>
      </c>
      <c r="E139">
        <v>10048113</v>
      </c>
      <c r="G139">
        <v>99568</v>
      </c>
      <c r="H139">
        <f t="shared" si="2"/>
        <v>20557700</v>
      </c>
    </row>
    <row r="140" spans="1:8" x14ac:dyDescent="0.3">
      <c r="A140" t="s">
        <v>25</v>
      </c>
      <c r="B140">
        <v>2018</v>
      </c>
      <c r="C140" t="s">
        <v>11</v>
      </c>
      <c r="D140">
        <v>10768548</v>
      </c>
      <c r="E140">
        <v>10306750</v>
      </c>
      <c r="G140">
        <v>8599</v>
      </c>
      <c r="H140">
        <f t="shared" si="2"/>
        <v>21075298</v>
      </c>
    </row>
    <row r="141" spans="1:8" x14ac:dyDescent="0.3">
      <c r="A141" t="s">
        <v>25</v>
      </c>
      <c r="B141">
        <v>2018</v>
      </c>
      <c r="C141" t="s">
        <v>12</v>
      </c>
      <c r="D141">
        <v>10830151</v>
      </c>
      <c r="E141">
        <v>10407016</v>
      </c>
      <c r="G141">
        <v>8899</v>
      </c>
      <c r="H141">
        <f t="shared" si="2"/>
        <v>21237167</v>
      </c>
    </row>
    <row r="142" spans="1:8" x14ac:dyDescent="0.3">
      <c r="A142" t="s">
        <v>25</v>
      </c>
      <c r="B142">
        <v>2018</v>
      </c>
      <c r="C142" t="s">
        <v>13</v>
      </c>
      <c r="D142">
        <v>11540498</v>
      </c>
      <c r="E142">
        <v>11096499</v>
      </c>
      <c r="G142">
        <v>5898</v>
      </c>
      <c r="H142">
        <f t="shared" si="2"/>
        <v>22636997</v>
      </c>
    </row>
    <row r="143" spans="1:8" x14ac:dyDescent="0.3">
      <c r="A143" t="s">
        <v>25</v>
      </c>
      <c r="B143">
        <v>2018</v>
      </c>
      <c r="C143" t="s">
        <v>14</v>
      </c>
      <c r="D143">
        <v>11984144</v>
      </c>
      <c r="E143">
        <v>11516976</v>
      </c>
      <c r="G143">
        <v>9865</v>
      </c>
      <c r="H143">
        <f t="shared" si="2"/>
        <v>23501120</v>
      </c>
    </row>
    <row r="144" spans="1:8" x14ac:dyDescent="0.3">
      <c r="A144" t="s">
        <v>25</v>
      </c>
      <c r="B144">
        <v>2018</v>
      </c>
      <c r="C144" t="s">
        <v>15</v>
      </c>
      <c r="D144">
        <v>11307107</v>
      </c>
      <c r="E144">
        <v>11027059</v>
      </c>
      <c r="G144">
        <v>85890</v>
      </c>
      <c r="H144">
        <f t="shared" si="2"/>
        <v>22334166</v>
      </c>
    </row>
    <row r="145" spans="1:8" x14ac:dyDescent="0.3">
      <c r="A145" t="s">
        <v>25</v>
      </c>
      <c r="B145">
        <v>2018</v>
      </c>
      <c r="C145" t="s">
        <v>16</v>
      </c>
      <c r="D145">
        <v>10484916</v>
      </c>
      <c r="E145">
        <v>10442313</v>
      </c>
      <c r="G145">
        <v>78988</v>
      </c>
      <c r="H145">
        <f t="shared" si="2"/>
        <v>20927229</v>
      </c>
    </row>
    <row r="146" spans="1:8" x14ac:dyDescent="0.3">
      <c r="A146" t="s">
        <v>25</v>
      </c>
      <c r="B146">
        <v>2018</v>
      </c>
      <c r="C146" t="s">
        <v>34</v>
      </c>
      <c r="D146">
        <v>9981141</v>
      </c>
      <c r="E146">
        <v>10067886</v>
      </c>
      <c r="G146">
        <v>88657</v>
      </c>
      <c r="H146">
        <f t="shared" si="2"/>
        <v>20049027</v>
      </c>
    </row>
    <row r="147" spans="1:8" x14ac:dyDescent="0.3">
      <c r="A147" t="s">
        <v>25</v>
      </c>
      <c r="B147">
        <v>2018</v>
      </c>
      <c r="C147" t="s">
        <v>17</v>
      </c>
      <c r="D147">
        <v>10103930</v>
      </c>
      <c r="E147">
        <v>10123340</v>
      </c>
      <c r="G147">
        <v>99865</v>
      </c>
      <c r="H147">
        <f t="shared" si="2"/>
        <v>20227270</v>
      </c>
    </row>
    <row r="148" spans="1:8" x14ac:dyDescent="0.3">
      <c r="A148" t="s">
        <v>25</v>
      </c>
      <c r="B148">
        <v>2018</v>
      </c>
      <c r="C148" t="s">
        <v>18</v>
      </c>
      <c r="D148">
        <v>10628004</v>
      </c>
      <c r="E148">
        <v>10553772</v>
      </c>
      <c r="G148">
        <v>98799</v>
      </c>
      <c r="H148">
        <f t="shared" si="2"/>
        <v>21181776</v>
      </c>
    </row>
    <row r="149" spans="1:8" x14ac:dyDescent="0.3">
      <c r="A149" t="s">
        <v>25</v>
      </c>
      <c r="B149">
        <v>2018</v>
      </c>
      <c r="C149" t="s">
        <v>19</v>
      </c>
      <c r="D149">
        <v>10756911</v>
      </c>
      <c r="E149">
        <v>10988002</v>
      </c>
      <c r="G149">
        <v>88002</v>
      </c>
      <c r="H149">
        <f t="shared" si="2"/>
        <v>21744913</v>
      </c>
    </row>
    <row r="150" spans="1:8" x14ac:dyDescent="0.3">
      <c r="A150" t="s">
        <v>25</v>
      </c>
      <c r="B150">
        <v>2018</v>
      </c>
      <c r="C150" t="s">
        <v>20</v>
      </c>
      <c r="D150">
        <v>9729771</v>
      </c>
      <c r="E150">
        <v>10356334</v>
      </c>
      <c r="G150">
        <v>28900</v>
      </c>
      <c r="H150">
        <f t="shared" si="2"/>
        <v>20086105</v>
      </c>
    </row>
    <row r="151" spans="1:8" x14ac:dyDescent="0.3">
      <c r="A151" t="s">
        <v>25</v>
      </c>
      <c r="B151">
        <v>2018</v>
      </c>
      <c r="C151" t="s">
        <v>21</v>
      </c>
      <c r="D151">
        <v>8064079</v>
      </c>
      <c r="E151">
        <v>8951698</v>
      </c>
      <c r="G151">
        <v>8459</v>
      </c>
      <c r="H151">
        <f t="shared" si="2"/>
        <v>17015777</v>
      </c>
    </row>
    <row r="152" spans="1:8" x14ac:dyDescent="0.3">
      <c r="A152" t="s">
        <v>25</v>
      </c>
      <c r="B152">
        <v>2018</v>
      </c>
      <c r="C152" t="s">
        <v>22</v>
      </c>
      <c r="D152">
        <v>6024703</v>
      </c>
      <c r="E152">
        <v>7052325</v>
      </c>
      <c r="G152">
        <v>2065</v>
      </c>
      <c r="H152">
        <f t="shared" si="2"/>
        <v>13077028</v>
      </c>
    </row>
    <row r="153" spans="1:8" x14ac:dyDescent="0.3">
      <c r="A153" t="s">
        <v>25</v>
      </c>
      <c r="B153">
        <v>2018</v>
      </c>
      <c r="C153" t="s">
        <v>23</v>
      </c>
      <c r="D153">
        <v>3958811</v>
      </c>
      <c r="E153">
        <v>4904173</v>
      </c>
      <c r="G153">
        <v>1190</v>
      </c>
      <c r="H153">
        <f t="shared" si="2"/>
        <v>8862984</v>
      </c>
    </row>
    <row r="154" spans="1:8" x14ac:dyDescent="0.3">
      <c r="A154" t="s">
        <v>25</v>
      </c>
      <c r="B154">
        <v>2018</v>
      </c>
      <c r="C154" t="s">
        <v>24</v>
      </c>
      <c r="D154">
        <v>5011343</v>
      </c>
      <c r="E154">
        <v>7674464</v>
      </c>
      <c r="G154">
        <v>557</v>
      </c>
      <c r="H154">
        <f t="shared" si="2"/>
        <v>12685807</v>
      </c>
    </row>
    <row r="155" spans="1:8" x14ac:dyDescent="0.3">
      <c r="A155" t="s">
        <v>25</v>
      </c>
      <c r="B155">
        <v>2019</v>
      </c>
      <c r="C155" t="s">
        <v>9</v>
      </c>
      <c r="D155">
        <v>9994109</v>
      </c>
      <c r="E155">
        <v>9560814</v>
      </c>
      <c r="F155">
        <v>3747540</v>
      </c>
      <c r="G155">
        <f>1998429+142208</f>
        <v>2140637</v>
      </c>
      <c r="H155">
        <f t="shared" si="2"/>
        <v>23302463</v>
      </c>
    </row>
    <row r="156" spans="1:8" x14ac:dyDescent="0.3">
      <c r="A156" t="s">
        <v>25</v>
      </c>
      <c r="B156">
        <v>2019</v>
      </c>
      <c r="C156" t="s">
        <v>10</v>
      </c>
      <c r="D156">
        <v>10345114</v>
      </c>
      <c r="E156">
        <v>9891747</v>
      </c>
      <c r="G156">
        <v>99568</v>
      </c>
      <c r="H156">
        <f t="shared" si="2"/>
        <v>20236861</v>
      </c>
    </row>
    <row r="157" spans="1:8" x14ac:dyDescent="0.3">
      <c r="A157" t="s">
        <v>25</v>
      </c>
      <c r="B157">
        <v>2019</v>
      </c>
      <c r="C157" t="s">
        <v>11</v>
      </c>
      <c r="D157">
        <v>10778713</v>
      </c>
      <c r="E157">
        <v>10315712</v>
      </c>
      <c r="G157">
        <v>8599</v>
      </c>
      <c r="H157">
        <f t="shared" si="2"/>
        <v>21094425</v>
      </c>
    </row>
    <row r="158" spans="1:8" x14ac:dyDescent="0.3">
      <c r="A158" t="s">
        <v>25</v>
      </c>
      <c r="B158">
        <v>2019</v>
      </c>
      <c r="C158" t="s">
        <v>12</v>
      </c>
      <c r="D158">
        <v>10810011</v>
      </c>
      <c r="E158">
        <v>10387288</v>
      </c>
      <c r="G158">
        <v>8899</v>
      </c>
      <c r="H158">
        <f t="shared" si="2"/>
        <v>21197299</v>
      </c>
    </row>
    <row r="159" spans="1:8" x14ac:dyDescent="0.3">
      <c r="A159" t="s">
        <v>25</v>
      </c>
      <c r="B159">
        <v>2019</v>
      </c>
      <c r="C159" t="s">
        <v>13</v>
      </c>
      <c r="D159">
        <v>11394893</v>
      </c>
      <c r="E159">
        <v>10984798</v>
      </c>
      <c r="G159">
        <v>5898</v>
      </c>
      <c r="H159">
        <f t="shared" si="2"/>
        <v>22379691</v>
      </c>
    </row>
    <row r="160" spans="1:8" x14ac:dyDescent="0.3">
      <c r="A160" t="s">
        <v>25</v>
      </c>
      <c r="B160">
        <v>2019</v>
      </c>
      <c r="C160" t="s">
        <v>14</v>
      </c>
      <c r="D160">
        <v>12073940</v>
      </c>
      <c r="E160">
        <v>11609603</v>
      </c>
      <c r="G160">
        <v>9865</v>
      </c>
      <c r="H160">
        <f t="shared" si="2"/>
        <v>23683543</v>
      </c>
    </row>
    <row r="161" spans="1:8" x14ac:dyDescent="0.3">
      <c r="A161" t="s">
        <v>25</v>
      </c>
      <c r="B161">
        <v>2019</v>
      </c>
      <c r="C161" t="s">
        <v>15</v>
      </c>
      <c r="D161">
        <v>11483192</v>
      </c>
      <c r="E161">
        <v>11163282</v>
      </c>
      <c r="G161">
        <v>85890</v>
      </c>
      <c r="H161">
        <f t="shared" si="2"/>
        <v>22646474</v>
      </c>
    </row>
    <row r="162" spans="1:8" x14ac:dyDescent="0.3">
      <c r="A162" t="s">
        <v>25</v>
      </c>
      <c r="B162">
        <v>2019</v>
      </c>
      <c r="C162" t="s">
        <v>16</v>
      </c>
      <c r="D162">
        <v>10646005</v>
      </c>
      <c r="E162">
        <v>10577274</v>
      </c>
      <c r="G162">
        <v>78988</v>
      </c>
      <c r="H162">
        <f t="shared" si="2"/>
        <v>21223279</v>
      </c>
    </row>
    <row r="163" spans="1:8" x14ac:dyDescent="0.3">
      <c r="A163" t="s">
        <v>25</v>
      </c>
      <c r="B163">
        <v>2019</v>
      </c>
      <c r="C163" t="s">
        <v>34</v>
      </c>
      <c r="D163">
        <v>10014379</v>
      </c>
      <c r="E163">
        <v>10086648</v>
      </c>
      <c r="G163">
        <v>88657</v>
      </c>
      <c r="H163">
        <f t="shared" si="2"/>
        <v>20101027</v>
      </c>
    </row>
    <row r="164" spans="1:8" x14ac:dyDescent="0.3">
      <c r="A164" t="s">
        <v>25</v>
      </c>
      <c r="B164">
        <v>2019</v>
      </c>
      <c r="C164" t="s">
        <v>17</v>
      </c>
      <c r="D164">
        <v>10004727</v>
      </c>
      <c r="E164">
        <v>10081631</v>
      </c>
      <c r="G164">
        <v>99865</v>
      </c>
      <c r="H164">
        <f t="shared" si="2"/>
        <v>20086358</v>
      </c>
    </row>
    <row r="165" spans="1:8" x14ac:dyDescent="0.3">
      <c r="A165" t="s">
        <v>25</v>
      </c>
      <c r="B165">
        <v>2019</v>
      </c>
      <c r="C165" t="s">
        <v>18</v>
      </c>
      <c r="D165">
        <v>10444920</v>
      </c>
      <c r="E165">
        <v>10369204</v>
      </c>
      <c r="G165">
        <v>98799</v>
      </c>
      <c r="H165">
        <f t="shared" si="2"/>
        <v>20814124</v>
      </c>
    </row>
    <row r="166" spans="1:8" x14ac:dyDescent="0.3">
      <c r="A166" t="s">
        <v>25</v>
      </c>
      <c r="B166">
        <v>2019</v>
      </c>
      <c r="C166" t="s">
        <v>19</v>
      </c>
      <c r="D166">
        <v>10727327</v>
      </c>
      <c r="E166">
        <v>10909487</v>
      </c>
      <c r="G166">
        <v>88002</v>
      </c>
      <c r="H166">
        <f t="shared" si="2"/>
        <v>21636814</v>
      </c>
    </row>
    <row r="167" spans="1:8" x14ac:dyDescent="0.3">
      <c r="A167" t="s">
        <v>25</v>
      </c>
      <c r="B167">
        <v>2019</v>
      </c>
      <c r="C167" t="s">
        <v>20</v>
      </c>
      <c r="D167">
        <v>9888074</v>
      </c>
      <c r="E167">
        <v>10490334</v>
      </c>
      <c r="G167">
        <v>28900</v>
      </c>
      <c r="H167">
        <f t="shared" si="2"/>
        <v>20378408</v>
      </c>
    </row>
    <row r="168" spans="1:8" x14ac:dyDescent="0.3">
      <c r="A168" t="s">
        <v>25</v>
      </c>
      <c r="B168">
        <v>2019</v>
      </c>
      <c r="C168" t="s">
        <v>21</v>
      </c>
      <c r="D168">
        <v>8241458</v>
      </c>
      <c r="E168">
        <v>9130305</v>
      </c>
      <c r="G168">
        <v>8459</v>
      </c>
      <c r="H168">
        <f t="shared" si="2"/>
        <v>17371763</v>
      </c>
    </row>
    <row r="169" spans="1:8" x14ac:dyDescent="0.3">
      <c r="A169" t="s">
        <v>25</v>
      </c>
      <c r="B169">
        <v>2019</v>
      </c>
      <c r="C169" t="s">
        <v>22</v>
      </c>
      <c r="D169">
        <v>6340767</v>
      </c>
      <c r="E169">
        <v>7383579</v>
      </c>
      <c r="G169">
        <v>2065</v>
      </c>
      <c r="H169">
        <f t="shared" si="2"/>
        <v>13724346</v>
      </c>
    </row>
    <row r="170" spans="1:8" x14ac:dyDescent="0.3">
      <c r="A170" t="s">
        <v>25</v>
      </c>
      <c r="B170">
        <v>2019</v>
      </c>
      <c r="C170" t="s">
        <v>23</v>
      </c>
      <c r="D170">
        <v>4106447</v>
      </c>
      <c r="E170">
        <v>5120726</v>
      </c>
      <c r="G170">
        <v>1190</v>
      </c>
      <c r="H170">
        <f t="shared" si="2"/>
        <v>9227173</v>
      </c>
    </row>
    <row r="171" spans="1:8" x14ac:dyDescent="0.3">
      <c r="A171" t="s">
        <v>25</v>
      </c>
      <c r="B171">
        <v>2019</v>
      </c>
      <c r="C171" t="s">
        <v>24</v>
      </c>
      <c r="D171">
        <v>5123805</v>
      </c>
      <c r="E171">
        <v>7759209</v>
      </c>
      <c r="G171">
        <v>557</v>
      </c>
      <c r="H171">
        <f t="shared" si="2"/>
        <v>12883014</v>
      </c>
    </row>
    <row r="172" spans="1:8" x14ac:dyDescent="0.3">
      <c r="A172" t="s">
        <v>7</v>
      </c>
      <c r="B172">
        <v>2015</v>
      </c>
      <c r="C172" t="s">
        <v>9</v>
      </c>
      <c r="D172">
        <v>2752288</v>
      </c>
      <c r="E172">
        <v>2607443</v>
      </c>
      <c r="F172">
        <v>1005721</v>
      </c>
      <c r="G172">
        <v>788979</v>
      </c>
      <c r="H172">
        <f t="shared" si="2"/>
        <v>6365452</v>
      </c>
    </row>
    <row r="173" spans="1:8" x14ac:dyDescent="0.3">
      <c r="A173" t="s">
        <v>7</v>
      </c>
      <c r="B173">
        <v>2015</v>
      </c>
      <c r="C173" t="s">
        <v>10</v>
      </c>
      <c r="D173">
        <v>2835756</v>
      </c>
      <c r="E173">
        <v>2687101</v>
      </c>
      <c r="G173">
        <v>5897</v>
      </c>
      <c r="H173">
        <f t="shared" si="2"/>
        <v>5522857</v>
      </c>
    </row>
    <row r="174" spans="1:8" x14ac:dyDescent="0.3">
      <c r="A174" t="s">
        <v>7</v>
      </c>
      <c r="B174">
        <v>2015</v>
      </c>
      <c r="C174" t="s">
        <v>11</v>
      </c>
      <c r="D174">
        <v>2891630</v>
      </c>
      <c r="E174">
        <v>2740615</v>
      </c>
      <c r="G174">
        <v>5991</v>
      </c>
      <c r="H174">
        <f t="shared" si="2"/>
        <v>5632245</v>
      </c>
    </row>
    <row r="175" spans="1:8" x14ac:dyDescent="0.3">
      <c r="A175" t="s">
        <v>7</v>
      </c>
      <c r="B175">
        <v>2015</v>
      </c>
      <c r="C175" t="s">
        <v>12</v>
      </c>
      <c r="D175">
        <v>3048362</v>
      </c>
      <c r="E175">
        <v>2891759</v>
      </c>
      <c r="G175">
        <v>4987</v>
      </c>
      <c r="H175">
        <f t="shared" si="2"/>
        <v>5940121</v>
      </c>
    </row>
    <row r="176" spans="1:8" x14ac:dyDescent="0.3">
      <c r="A176" t="s">
        <v>7</v>
      </c>
      <c r="B176">
        <v>2015</v>
      </c>
      <c r="C176" t="s">
        <v>13</v>
      </c>
      <c r="D176">
        <v>3127455</v>
      </c>
      <c r="E176">
        <v>2971136</v>
      </c>
      <c r="G176">
        <v>2013</v>
      </c>
      <c r="H176">
        <f t="shared" si="2"/>
        <v>6098591</v>
      </c>
    </row>
    <row r="177" spans="1:8" x14ac:dyDescent="0.3">
      <c r="A177" t="s">
        <v>7</v>
      </c>
      <c r="B177">
        <v>2015</v>
      </c>
      <c r="C177" t="s">
        <v>14</v>
      </c>
      <c r="D177">
        <v>3438494</v>
      </c>
      <c r="E177">
        <v>3273328</v>
      </c>
      <c r="G177">
        <v>90895</v>
      </c>
      <c r="H177">
        <f t="shared" si="2"/>
        <v>6711822</v>
      </c>
    </row>
    <row r="178" spans="1:8" x14ac:dyDescent="0.3">
      <c r="A178" t="s">
        <v>7</v>
      </c>
      <c r="B178">
        <v>2015</v>
      </c>
      <c r="C178" t="s">
        <v>15</v>
      </c>
      <c r="D178">
        <v>3867272</v>
      </c>
      <c r="E178">
        <v>3691825</v>
      </c>
      <c r="G178">
        <v>98569</v>
      </c>
      <c r="H178">
        <f t="shared" si="2"/>
        <v>7559097</v>
      </c>
    </row>
    <row r="179" spans="1:8" x14ac:dyDescent="0.3">
      <c r="A179" t="s">
        <v>7</v>
      </c>
      <c r="B179">
        <v>2015</v>
      </c>
      <c r="C179" t="s">
        <v>16</v>
      </c>
      <c r="D179">
        <v>4289456</v>
      </c>
      <c r="E179">
        <v>4134891</v>
      </c>
      <c r="G179">
        <v>98786</v>
      </c>
      <c r="H179">
        <f t="shared" si="2"/>
        <v>8424347</v>
      </c>
    </row>
    <row r="180" spans="1:8" x14ac:dyDescent="0.3">
      <c r="A180" t="s">
        <v>7</v>
      </c>
      <c r="B180">
        <v>2015</v>
      </c>
      <c r="C180" t="s">
        <v>34</v>
      </c>
      <c r="D180">
        <v>5085533</v>
      </c>
      <c r="E180">
        <v>4894779</v>
      </c>
      <c r="G180">
        <v>84558</v>
      </c>
      <c r="H180">
        <f t="shared" si="2"/>
        <v>9980312</v>
      </c>
    </row>
    <row r="181" spans="1:8" x14ac:dyDescent="0.3">
      <c r="A181" t="s">
        <v>7</v>
      </c>
      <c r="B181">
        <v>2015</v>
      </c>
      <c r="C181" t="s">
        <v>17</v>
      </c>
      <c r="D181">
        <v>4380688</v>
      </c>
      <c r="E181">
        <v>4284280</v>
      </c>
      <c r="G181">
        <v>20909</v>
      </c>
      <c r="H181">
        <f t="shared" si="2"/>
        <v>8664968</v>
      </c>
    </row>
    <row r="182" spans="1:8" x14ac:dyDescent="0.3">
      <c r="A182" t="s">
        <v>7</v>
      </c>
      <c r="B182">
        <v>2015</v>
      </c>
      <c r="C182" t="s">
        <v>18</v>
      </c>
      <c r="D182">
        <v>4011746</v>
      </c>
      <c r="E182">
        <v>3924606</v>
      </c>
      <c r="G182">
        <v>10093</v>
      </c>
      <c r="H182">
        <f t="shared" si="2"/>
        <v>7936352</v>
      </c>
    </row>
    <row r="183" spans="1:8" x14ac:dyDescent="0.3">
      <c r="A183" t="s">
        <v>7</v>
      </c>
      <c r="B183">
        <v>2015</v>
      </c>
      <c r="C183" t="s">
        <v>19</v>
      </c>
      <c r="D183">
        <v>3825094</v>
      </c>
      <c r="E183">
        <v>3786665</v>
      </c>
      <c r="G183">
        <v>9923</v>
      </c>
      <c r="H183">
        <f t="shared" si="2"/>
        <v>7611759</v>
      </c>
    </row>
    <row r="184" spans="1:8" x14ac:dyDescent="0.3">
      <c r="A184" t="s">
        <v>7</v>
      </c>
      <c r="B184">
        <v>2015</v>
      </c>
      <c r="C184" t="s">
        <v>20</v>
      </c>
      <c r="D184">
        <v>4276772</v>
      </c>
      <c r="E184">
        <v>4341791</v>
      </c>
      <c r="G184">
        <v>3359</v>
      </c>
      <c r="H184">
        <f t="shared" si="2"/>
        <v>8618563</v>
      </c>
    </row>
    <row r="185" spans="1:8" x14ac:dyDescent="0.3">
      <c r="A185" t="s">
        <v>7</v>
      </c>
      <c r="B185">
        <v>2015</v>
      </c>
      <c r="C185" t="s">
        <v>21</v>
      </c>
      <c r="D185">
        <v>4626314</v>
      </c>
      <c r="E185">
        <v>4938452</v>
      </c>
      <c r="G185">
        <v>5238</v>
      </c>
      <c r="H185">
        <f t="shared" si="2"/>
        <v>9564766</v>
      </c>
    </row>
    <row r="186" spans="1:8" x14ac:dyDescent="0.3">
      <c r="A186" t="s">
        <v>7</v>
      </c>
      <c r="B186">
        <v>2015</v>
      </c>
      <c r="C186" t="s">
        <v>22</v>
      </c>
      <c r="D186">
        <v>3560518</v>
      </c>
      <c r="E186">
        <v>4092978</v>
      </c>
      <c r="G186">
        <v>4459</v>
      </c>
      <c r="H186">
        <f t="shared" si="2"/>
        <v>7653496</v>
      </c>
    </row>
    <row r="187" spans="1:8" x14ac:dyDescent="0.3">
      <c r="A187" t="s">
        <v>7</v>
      </c>
      <c r="B187">
        <v>2015</v>
      </c>
      <c r="C187" t="s">
        <v>23</v>
      </c>
      <c r="D187">
        <v>2754042</v>
      </c>
      <c r="E187">
        <v>3463905</v>
      </c>
      <c r="G187">
        <v>18963</v>
      </c>
      <c r="H187">
        <f t="shared" si="2"/>
        <v>6217947</v>
      </c>
    </row>
    <row r="188" spans="1:8" x14ac:dyDescent="0.3">
      <c r="A188" t="s">
        <v>7</v>
      </c>
      <c r="B188">
        <v>2015</v>
      </c>
      <c r="C188" t="s">
        <v>24</v>
      </c>
      <c r="D188">
        <v>3353859</v>
      </c>
      <c r="E188">
        <v>6291168</v>
      </c>
      <c r="G188">
        <v>19406</v>
      </c>
      <c r="H188">
        <f t="shared" si="2"/>
        <v>9645027</v>
      </c>
    </row>
    <row r="189" spans="1:8" x14ac:dyDescent="0.3">
      <c r="A189" t="s">
        <v>7</v>
      </c>
      <c r="B189">
        <v>2016</v>
      </c>
      <c r="C189" t="s">
        <v>9</v>
      </c>
      <c r="D189">
        <v>2714440</v>
      </c>
      <c r="E189">
        <v>2572012</v>
      </c>
      <c r="F189">
        <v>977242</v>
      </c>
      <c r="G189">
        <v>735113</v>
      </c>
      <c r="H189">
        <f t="shared" si="2"/>
        <v>6263694</v>
      </c>
    </row>
    <row r="190" spans="1:8" x14ac:dyDescent="0.3">
      <c r="A190" t="s">
        <v>7</v>
      </c>
      <c r="B190">
        <v>2016</v>
      </c>
      <c r="C190" t="s">
        <v>10</v>
      </c>
      <c r="D190">
        <v>2828019</v>
      </c>
      <c r="E190">
        <v>2680357</v>
      </c>
      <c r="G190">
        <v>5897</v>
      </c>
      <c r="H190">
        <f t="shared" si="2"/>
        <v>5508376</v>
      </c>
    </row>
    <row r="191" spans="1:8" x14ac:dyDescent="0.3">
      <c r="A191" t="s">
        <v>7</v>
      </c>
      <c r="B191">
        <v>2016</v>
      </c>
      <c r="C191" t="s">
        <v>11</v>
      </c>
      <c r="D191">
        <v>2877604</v>
      </c>
      <c r="E191">
        <v>2727965</v>
      </c>
      <c r="G191">
        <v>5991</v>
      </c>
      <c r="H191">
        <f t="shared" si="2"/>
        <v>5605569</v>
      </c>
    </row>
    <row r="192" spans="1:8" x14ac:dyDescent="0.3">
      <c r="A192" t="s">
        <v>7</v>
      </c>
      <c r="B192">
        <v>2016</v>
      </c>
      <c r="C192" t="s">
        <v>12</v>
      </c>
      <c r="D192">
        <v>3027351</v>
      </c>
      <c r="E192">
        <v>2872467</v>
      </c>
      <c r="G192">
        <v>4987</v>
      </c>
      <c r="H192">
        <f t="shared" si="2"/>
        <v>5899818</v>
      </c>
    </row>
    <row r="193" spans="1:8" x14ac:dyDescent="0.3">
      <c r="A193" t="s">
        <v>7</v>
      </c>
      <c r="B193">
        <v>2016</v>
      </c>
      <c r="C193" t="s">
        <v>13</v>
      </c>
      <c r="D193">
        <v>3101240</v>
      </c>
      <c r="E193">
        <v>2946770</v>
      </c>
      <c r="G193">
        <v>2013</v>
      </c>
      <c r="H193">
        <f t="shared" si="2"/>
        <v>6048010</v>
      </c>
    </row>
    <row r="194" spans="1:8" x14ac:dyDescent="0.3">
      <c r="A194" t="s">
        <v>7</v>
      </c>
      <c r="B194">
        <v>2016</v>
      </c>
      <c r="C194" t="s">
        <v>14</v>
      </c>
      <c r="D194">
        <v>3367137</v>
      </c>
      <c r="E194">
        <v>3205979</v>
      </c>
      <c r="G194">
        <v>90895</v>
      </c>
      <c r="H194">
        <f t="shared" ref="H194:H257" si="3">SUM(D194:F194)</f>
        <v>6573116</v>
      </c>
    </row>
    <row r="195" spans="1:8" x14ac:dyDescent="0.3">
      <c r="A195" t="s">
        <v>7</v>
      </c>
      <c r="B195">
        <v>2016</v>
      </c>
      <c r="C195" t="s">
        <v>15</v>
      </c>
      <c r="D195">
        <v>3792619</v>
      </c>
      <c r="E195">
        <v>3618053</v>
      </c>
      <c r="G195">
        <v>98569</v>
      </c>
      <c r="H195">
        <f t="shared" si="3"/>
        <v>7410672</v>
      </c>
    </row>
    <row r="196" spans="1:8" x14ac:dyDescent="0.3">
      <c r="A196" t="s">
        <v>7</v>
      </c>
      <c r="B196">
        <v>2016</v>
      </c>
      <c r="C196" t="s">
        <v>16</v>
      </c>
      <c r="D196">
        <v>4161706</v>
      </c>
      <c r="E196">
        <v>4010359</v>
      </c>
      <c r="G196">
        <v>98786</v>
      </c>
      <c r="H196">
        <f t="shared" si="3"/>
        <v>8172065</v>
      </c>
    </row>
    <row r="197" spans="1:8" x14ac:dyDescent="0.3">
      <c r="A197" t="s">
        <v>7</v>
      </c>
      <c r="B197">
        <v>2016</v>
      </c>
      <c r="C197" t="s">
        <v>34</v>
      </c>
      <c r="D197">
        <v>5027828</v>
      </c>
      <c r="E197">
        <v>4840256</v>
      </c>
      <c r="G197">
        <v>84558</v>
      </c>
      <c r="H197">
        <f t="shared" si="3"/>
        <v>9868084</v>
      </c>
    </row>
    <row r="198" spans="1:8" x14ac:dyDescent="0.3">
      <c r="A198" t="s">
        <v>7</v>
      </c>
      <c r="B198">
        <v>2016</v>
      </c>
      <c r="C198" t="s">
        <v>17</v>
      </c>
      <c r="D198">
        <v>4529066</v>
      </c>
      <c r="E198">
        <v>4423219</v>
      </c>
      <c r="G198">
        <v>20909</v>
      </c>
      <c r="H198">
        <f t="shared" si="3"/>
        <v>8952285</v>
      </c>
    </row>
    <row r="199" spans="1:8" x14ac:dyDescent="0.3">
      <c r="A199" t="s">
        <v>7</v>
      </c>
      <c r="B199">
        <v>2016</v>
      </c>
      <c r="C199" t="s">
        <v>18</v>
      </c>
      <c r="D199">
        <v>4060346</v>
      </c>
      <c r="E199">
        <v>3979587</v>
      </c>
      <c r="G199">
        <v>10093</v>
      </c>
      <c r="H199">
        <f t="shared" si="3"/>
        <v>8039933</v>
      </c>
    </row>
    <row r="200" spans="1:8" x14ac:dyDescent="0.3">
      <c r="A200" t="s">
        <v>7</v>
      </c>
      <c r="B200">
        <v>2016</v>
      </c>
      <c r="C200" t="s">
        <v>19</v>
      </c>
      <c r="D200">
        <v>3793569</v>
      </c>
      <c r="E200">
        <v>3755069</v>
      </c>
      <c r="G200">
        <v>9923</v>
      </c>
      <c r="H200">
        <f t="shared" si="3"/>
        <v>7548638</v>
      </c>
    </row>
    <row r="201" spans="1:8" x14ac:dyDescent="0.3">
      <c r="A201" t="s">
        <v>7</v>
      </c>
      <c r="B201">
        <v>2016</v>
      </c>
      <c r="C201" t="s">
        <v>20</v>
      </c>
      <c r="D201">
        <v>4127834</v>
      </c>
      <c r="E201">
        <v>4182843</v>
      </c>
      <c r="G201">
        <v>3359</v>
      </c>
      <c r="H201">
        <f t="shared" si="3"/>
        <v>8310677</v>
      </c>
    </row>
    <row r="202" spans="1:8" x14ac:dyDescent="0.3">
      <c r="A202" t="s">
        <v>7</v>
      </c>
      <c r="B202">
        <v>2016</v>
      </c>
      <c r="C202" t="s">
        <v>21</v>
      </c>
      <c r="D202">
        <v>4604527</v>
      </c>
      <c r="E202">
        <v>4902194</v>
      </c>
      <c r="G202">
        <v>5238</v>
      </c>
      <c r="H202">
        <f t="shared" si="3"/>
        <v>9506721</v>
      </c>
    </row>
    <row r="203" spans="1:8" x14ac:dyDescent="0.3">
      <c r="A203" t="s">
        <v>7</v>
      </c>
      <c r="B203">
        <v>2016</v>
      </c>
      <c r="C203" t="s">
        <v>22</v>
      </c>
      <c r="D203">
        <v>3708856</v>
      </c>
      <c r="E203">
        <v>4243069</v>
      </c>
      <c r="G203">
        <v>4459</v>
      </c>
      <c r="H203">
        <f t="shared" si="3"/>
        <v>7951925</v>
      </c>
    </row>
    <row r="204" spans="1:8" x14ac:dyDescent="0.3">
      <c r="A204" t="s">
        <v>7</v>
      </c>
      <c r="B204">
        <v>2016</v>
      </c>
      <c r="C204" t="s">
        <v>23</v>
      </c>
      <c r="D204">
        <v>2803349</v>
      </c>
      <c r="E204">
        <v>3511715</v>
      </c>
      <c r="G204">
        <v>18963</v>
      </c>
      <c r="H204">
        <f t="shared" si="3"/>
        <v>6315064</v>
      </c>
    </row>
    <row r="205" spans="1:8" x14ac:dyDescent="0.3">
      <c r="A205" t="s">
        <v>7</v>
      </c>
      <c r="B205">
        <v>2016</v>
      </c>
      <c r="C205" t="s">
        <v>24</v>
      </c>
      <c r="D205">
        <v>3517553</v>
      </c>
      <c r="E205">
        <v>6479554</v>
      </c>
      <c r="G205">
        <v>19406</v>
      </c>
      <c r="H205">
        <f t="shared" si="3"/>
        <v>9997107</v>
      </c>
    </row>
    <row r="206" spans="1:8" x14ac:dyDescent="0.3">
      <c r="A206" t="s">
        <v>7</v>
      </c>
      <c r="B206">
        <v>2017</v>
      </c>
      <c r="C206" t="s">
        <v>9</v>
      </c>
      <c r="D206">
        <v>2653678</v>
      </c>
      <c r="E206">
        <v>2514735</v>
      </c>
      <c r="F206">
        <v>946146</v>
      </c>
      <c r="G206">
        <v>767542</v>
      </c>
      <c r="H206">
        <f t="shared" si="3"/>
        <v>6114559</v>
      </c>
    </row>
    <row r="207" spans="1:8" x14ac:dyDescent="0.3">
      <c r="A207" t="s">
        <v>7</v>
      </c>
      <c r="B207">
        <v>2017</v>
      </c>
      <c r="C207" t="s">
        <v>10</v>
      </c>
      <c r="D207">
        <v>2819519</v>
      </c>
      <c r="E207">
        <v>2671681</v>
      </c>
      <c r="G207">
        <v>5897</v>
      </c>
      <c r="H207">
        <f t="shared" si="3"/>
        <v>5491200</v>
      </c>
    </row>
    <row r="208" spans="1:8" x14ac:dyDescent="0.3">
      <c r="A208" t="s">
        <v>7</v>
      </c>
      <c r="B208">
        <v>2017</v>
      </c>
      <c r="C208" t="s">
        <v>11</v>
      </c>
      <c r="D208">
        <v>2868387</v>
      </c>
      <c r="E208">
        <v>2719622</v>
      </c>
      <c r="G208">
        <v>5991</v>
      </c>
      <c r="H208">
        <f t="shared" si="3"/>
        <v>5588009</v>
      </c>
    </row>
    <row r="209" spans="1:8" x14ac:dyDescent="0.3">
      <c r="A209" t="s">
        <v>7</v>
      </c>
      <c r="B209">
        <v>2017</v>
      </c>
      <c r="C209" t="s">
        <v>12</v>
      </c>
      <c r="D209">
        <v>2998464</v>
      </c>
      <c r="E209">
        <v>2845380</v>
      </c>
      <c r="G209">
        <v>4987</v>
      </c>
      <c r="H209">
        <f t="shared" si="3"/>
        <v>5843844</v>
      </c>
    </row>
    <row r="210" spans="1:8" x14ac:dyDescent="0.3">
      <c r="A210" t="s">
        <v>7</v>
      </c>
      <c r="B210">
        <v>2017</v>
      </c>
      <c r="C210" t="s">
        <v>13</v>
      </c>
      <c r="D210">
        <v>3088707</v>
      </c>
      <c r="E210">
        <v>2935166</v>
      </c>
      <c r="G210">
        <v>2013</v>
      </c>
      <c r="H210">
        <f t="shared" si="3"/>
        <v>6023873</v>
      </c>
    </row>
    <row r="211" spans="1:8" x14ac:dyDescent="0.3">
      <c r="A211" t="s">
        <v>7</v>
      </c>
      <c r="B211">
        <v>2017</v>
      </c>
      <c r="C211" t="s">
        <v>14</v>
      </c>
      <c r="D211">
        <v>3298005</v>
      </c>
      <c r="E211">
        <v>3140301</v>
      </c>
      <c r="G211">
        <v>90895</v>
      </c>
      <c r="H211">
        <f t="shared" si="3"/>
        <v>6438306</v>
      </c>
    </row>
    <row r="212" spans="1:8" x14ac:dyDescent="0.3">
      <c r="A212" t="s">
        <v>7</v>
      </c>
      <c r="B212">
        <v>2017</v>
      </c>
      <c r="C212" t="s">
        <v>15</v>
      </c>
      <c r="D212">
        <v>3711974</v>
      </c>
      <c r="E212">
        <v>3540334</v>
      </c>
      <c r="G212">
        <v>98569</v>
      </c>
      <c r="H212">
        <f t="shared" si="3"/>
        <v>7252308</v>
      </c>
    </row>
    <row r="213" spans="1:8" x14ac:dyDescent="0.3">
      <c r="A213" t="s">
        <v>7</v>
      </c>
      <c r="B213">
        <v>2017</v>
      </c>
      <c r="C213" t="s">
        <v>16</v>
      </c>
      <c r="D213">
        <v>4076405</v>
      </c>
      <c r="E213">
        <v>3922439</v>
      </c>
      <c r="G213">
        <v>98786</v>
      </c>
      <c r="H213">
        <f t="shared" si="3"/>
        <v>7998844</v>
      </c>
    </row>
    <row r="214" spans="1:8" x14ac:dyDescent="0.3">
      <c r="A214" t="s">
        <v>7</v>
      </c>
      <c r="B214">
        <v>2017</v>
      </c>
      <c r="C214" t="s">
        <v>34</v>
      </c>
      <c r="D214">
        <v>4874289</v>
      </c>
      <c r="E214">
        <v>4697174</v>
      </c>
      <c r="G214">
        <v>84558</v>
      </c>
      <c r="H214">
        <f t="shared" si="3"/>
        <v>9571463</v>
      </c>
    </row>
    <row r="215" spans="1:8" x14ac:dyDescent="0.3">
      <c r="A215" t="s">
        <v>7</v>
      </c>
      <c r="B215">
        <v>2017</v>
      </c>
      <c r="C215" t="s">
        <v>17</v>
      </c>
      <c r="D215">
        <v>4717350</v>
      </c>
      <c r="E215">
        <v>4593800</v>
      </c>
      <c r="G215">
        <v>20909</v>
      </c>
      <c r="H215">
        <f t="shared" si="3"/>
        <v>9311150</v>
      </c>
    </row>
    <row r="216" spans="1:8" x14ac:dyDescent="0.3">
      <c r="A216" t="s">
        <v>7</v>
      </c>
      <c r="B216">
        <v>2017</v>
      </c>
      <c r="C216" t="s">
        <v>18</v>
      </c>
      <c r="D216">
        <v>4103341</v>
      </c>
      <c r="E216">
        <v>4030729</v>
      </c>
      <c r="G216">
        <v>10093</v>
      </c>
      <c r="H216">
        <f t="shared" si="3"/>
        <v>8134070</v>
      </c>
    </row>
    <row r="217" spans="1:8" x14ac:dyDescent="0.3">
      <c r="A217" t="s">
        <v>7</v>
      </c>
      <c r="B217">
        <v>2017</v>
      </c>
      <c r="C217" t="s">
        <v>19</v>
      </c>
      <c r="D217">
        <v>3803755</v>
      </c>
      <c r="E217">
        <v>3763254</v>
      </c>
      <c r="G217">
        <v>9923</v>
      </c>
      <c r="H217">
        <f t="shared" si="3"/>
        <v>7567009</v>
      </c>
    </row>
    <row r="218" spans="1:8" x14ac:dyDescent="0.3">
      <c r="A218" t="s">
        <v>7</v>
      </c>
      <c r="B218">
        <v>2017</v>
      </c>
      <c r="C218" t="s">
        <v>20</v>
      </c>
      <c r="D218">
        <v>3989075</v>
      </c>
      <c r="E218">
        <v>4037243</v>
      </c>
      <c r="G218">
        <v>3359</v>
      </c>
      <c r="H218">
        <f t="shared" si="3"/>
        <v>8026318</v>
      </c>
    </row>
    <row r="219" spans="1:8" x14ac:dyDescent="0.3">
      <c r="A219" t="s">
        <v>7</v>
      </c>
      <c r="B219">
        <v>2017</v>
      </c>
      <c r="C219" t="s">
        <v>21</v>
      </c>
      <c r="D219">
        <v>4510789</v>
      </c>
      <c r="E219">
        <v>4785707</v>
      </c>
      <c r="G219">
        <v>5238</v>
      </c>
      <c r="H219">
        <f t="shared" si="3"/>
        <v>9296496</v>
      </c>
    </row>
    <row r="220" spans="1:8" x14ac:dyDescent="0.3">
      <c r="A220" t="s">
        <v>7</v>
      </c>
      <c r="B220">
        <v>2017</v>
      </c>
      <c r="C220" t="s">
        <v>22</v>
      </c>
      <c r="D220">
        <v>3895960</v>
      </c>
      <c r="E220">
        <v>4428775</v>
      </c>
      <c r="G220">
        <v>4459</v>
      </c>
      <c r="H220">
        <f t="shared" si="3"/>
        <v>8324735</v>
      </c>
    </row>
    <row r="221" spans="1:8" x14ac:dyDescent="0.3">
      <c r="A221" t="s">
        <v>7</v>
      </c>
      <c r="B221">
        <v>2017</v>
      </c>
      <c r="C221" t="s">
        <v>23</v>
      </c>
      <c r="D221">
        <v>2854512</v>
      </c>
      <c r="E221">
        <v>3570339</v>
      </c>
      <c r="G221">
        <v>18963</v>
      </c>
      <c r="H221">
        <f t="shared" si="3"/>
        <v>6424851</v>
      </c>
    </row>
    <row r="222" spans="1:8" x14ac:dyDescent="0.3">
      <c r="A222" t="s">
        <v>7</v>
      </c>
      <c r="B222">
        <v>2017</v>
      </c>
      <c r="C222" t="s">
        <v>24</v>
      </c>
      <c r="D222">
        <v>3668804</v>
      </c>
      <c r="E222">
        <v>6657105</v>
      </c>
      <c r="G222">
        <v>19406</v>
      </c>
      <c r="H222">
        <f t="shared" si="3"/>
        <v>10325909</v>
      </c>
    </row>
    <row r="223" spans="1:8" x14ac:dyDescent="0.3">
      <c r="A223" t="s">
        <v>7</v>
      </c>
      <c r="B223">
        <v>2018</v>
      </c>
      <c r="C223" t="s">
        <v>9</v>
      </c>
      <c r="D223">
        <v>2579643</v>
      </c>
      <c r="E223">
        <v>2444699</v>
      </c>
      <c r="F223">
        <v>918400</v>
      </c>
      <c r="G223">
        <v>789445</v>
      </c>
      <c r="H223">
        <f t="shared" si="3"/>
        <v>5942742</v>
      </c>
    </row>
    <row r="224" spans="1:8" x14ac:dyDescent="0.3">
      <c r="A224" t="s">
        <v>7</v>
      </c>
      <c r="B224">
        <v>2018</v>
      </c>
      <c r="C224" t="s">
        <v>10</v>
      </c>
      <c r="D224">
        <v>2806179</v>
      </c>
      <c r="E224">
        <v>2660047</v>
      </c>
      <c r="G224">
        <v>5897</v>
      </c>
      <c r="H224">
        <f t="shared" si="3"/>
        <v>5466226</v>
      </c>
    </row>
    <row r="225" spans="1:8" x14ac:dyDescent="0.3">
      <c r="A225" t="s">
        <v>7</v>
      </c>
      <c r="B225">
        <v>2018</v>
      </c>
      <c r="C225" t="s">
        <v>11</v>
      </c>
      <c r="D225">
        <v>2861363</v>
      </c>
      <c r="E225">
        <v>2713070</v>
      </c>
      <c r="G225">
        <v>5991</v>
      </c>
      <c r="H225">
        <f t="shared" si="3"/>
        <v>5574433</v>
      </c>
    </row>
    <row r="226" spans="1:8" x14ac:dyDescent="0.3">
      <c r="A226" t="s">
        <v>7</v>
      </c>
      <c r="B226">
        <v>2018</v>
      </c>
      <c r="C226" t="s">
        <v>12</v>
      </c>
      <c r="D226">
        <v>2965991</v>
      </c>
      <c r="E226">
        <v>2814547</v>
      </c>
      <c r="G226">
        <v>4987</v>
      </c>
      <c r="H226">
        <f t="shared" si="3"/>
        <v>5780538</v>
      </c>
    </row>
    <row r="227" spans="1:8" x14ac:dyDescent="0.3">
      <c r="A227" t="s">
        <v>7</v>
      </c>
      <c r="B227">
        <v>2018</v>
      </c>
      <c r="C227" t="s">
        <v>13</v>
      </c>
      <c r="D227">
        <v>3083944</v>
      </c>
      <c r="E227">
        <v>2930666</v>
      </c>
      <c r="G227">
        <v>2013</v>
      </c>
      <c r="H227">
        <f t="shared" si="3"/>
        <v>6014610</v>
      </c>
    </row>
    <row r="228" spans="1:8" x14ac:dyDescent="0.3">
      <c r="A228" t="s">
        <v>7</v>
      </c>
      <c r="B228">
        <v>2018</v>
      </c>
      <c r="C228" t="s">
        <v>14</v>
      </c>
      <c r="D228">
        <v>3234204</v>
      </c>
      <c r="E228">
        <v>3079295</v>
      </c>
      <c r="G228">
        <v>90895</v>
      </c>
      <c r="H228">
        <f t="shared" si="3"/>
        <v>6313499</v>
      </c>
    </row>
    <row r="229" spans="1:8" x14ac:dyDescent="0.3">
      <c r="A229" t="s">
        <v>7</v>
      </c>
      <c r="B229">
        <v>2018</v>
      </c>
      <c r="C229" t="s">
        <v>15</v>
      </c>
      <c r="D229">
        <v>3626655</v>
      </c>
      <c r="E229">
        <v>3459237</v>
      </c>
      <c r="G229">
        <v>98569</v>
      </c>
      <c r="H229">
        <f t="shared" si="3"/>
        <v>7085892</v>
      </c>
    </row>
    <row r="230" spans="1:8" x14ac:dyDescent="0.3">
      <c r="A230" t="s">
        <v>7</v>
      </c>
      <c r="B230">
        <v>2018</v>
      </c>
      <c r="C230" t="s">
        <v>16</v>
      </c>
      <c r="D230">
        <v>4020975</v>
      </c>
      <c r="E230">
        <v>3860824</v>
      </c>
      <c r="G230">
        <v>98786</v>
      </c>
      <c r="H230">
        <f t="shared" si="3"/>
        <v>7881799</v>
      </c>
    </row>
    <row r="231" spans="1:8" x14ac:dyDescent="0.3">
      <c r="A231" t="s">
        <v>7</v>
      </c>
      <c r="B231">
        <v>2018</v>
      </c>
      <c r="C231" t="s">
        <v>34</v>
      </c>
      <c r="D231">
        <v>4661511</v>
      </c>
      <c r="E231">
        <v>4499018</v>
      </c>
      <c r="G231">
        <v>84558</v>
      </c>
      <c r="H231">
        <f t="shared" si="3"/>
        <v>9160529</v>
      </c>
    </row>
    <row r="232" spans="1:8" x14ac:dyDescent="0.3">
      <c r="A232" t="s">
        <v>7</v>
      </c>
      <c r="B232">
        <v>2018</v>
      </c>
      <c r="C232" t="s">
        <v>17</v>
      </c>
      <c r="D232">
        <v>4906238</v>
      </c>
      <c r="E232">
        <v>4741437</v>
      </c>
      <c r="G232">
        <v>20909</v>
      </c>
      <c r="H232">
        <f t="shared" si="3"/>
        <v>9647675</v>
      </c>
    </row>
    <row r="233" spans="1:8" x14ac:dyDescent="0.3">
      <c r="A233" t="s">
        <v>7</v>
      </c>
      <c r="B233">
        <v>2018</v>
      </c>
      <c r="C233" t="s">
        <v>18</v>
      </c>
      <c r="D233">
        <v>4153091</v>
      </c>
      <c r="E233">
        <v>4087552</v>
      </c>
      <c r="G233">
        <v>10093</v>
      </c>
      <c r="H233">
        <f t="shared" si="3"/>
        <v>8240643</v>
      </c>
    </row>
    <row r="234" spans="1:8" x14ac:dyDescent="0.3">
      <c r="A234" t="s">
        <v>7</v>
      </c>
      <c r="B234">
        <v>2018</v>
      </c>
      <c r="C234" t="s">
        <v>19</v>
      </c>
      <c r="D234">
        <v>3844120</v>
      </c>
      <c r="E234">
        <v>3800932</v>
      </c>
      <c r="G234">
        <v>9923</v>
      </c>
      <c r="H234">
        <f t="shared" si="3"/>
        <v>7645052</v>
      </c>
    </row>
    <row r="235" spans="1:8" x14ac:dyDescent="0.3">
      <c r="A235" t="s">
        <v>7</v>
      </c>
      <c r="B235">
        <v>2018</v>
      </c>
      <c r="C235" t="s">
        <v>20</v>
      </c>
      <c r="D235">
        <v>3868710</v>
      </c>
      <c r="E235">
        <v>3912000</v>
      </c>
      <c r="G235">
        <v>3359</v>
      </c>
      <c r="H235">
        <f t="shared" si="3"/>
        <v>7780710</v>
      </c>
    </row>
    <row r="236" spans="1:8" x14ac:dyDescent="0.3">
      <c r="A236" t="s">
        <v>7</v>
      </c>
      <c r="B236">
        <v>2018</v>
      </c>
      <c r="C236" t="s">
        <v>21</v>
      </c>
      <c r="D236">
        <v>4369097</v>
      </c>
      <c r="E236">
        <v>4414837</v>
      </c>
      <c r="G236">
        <v>5238</v>
      </c>
      <c r="H236">
        <f t="shared" si="3"/>
        <v>8783934</v>
      </c>
    </row>
    <row r="237" spans="1:8" x14ac:dyDescent="0.3">
      <c r="A237" t="s">
        <v>7</v>
      </c>
      <c r="B237">
        <v>2018</v>
      </c>
      <c r="C237" t="s">
        <v>22</v>
      </c>
      <c r="D237">
        <v>4086294</v>
      </c>
      <c r="E237">
        <v>4614520</v>
      </c>
      <c r="G237">
        <v>4459</v>
      </c>
      <c r="H237">
        <f t="shared" si="3"/>
        <v>8700814</v>
      </c>
    </row>
    <row r="238" spans="1:8" x14ac:dyDescent="0.3">
      <c r="A238" t="s">
        <v>7</v>
      </c>
      <c r="B238">
        <v>2018</v>
      </c>
      <c r="C238" t="s">
        <v>23</v>
      </c>
      <c r="D238">
        <v>2919129</v>
      </c>
      <c r="E238">
        <v>3645342</v>
      </c>
      <c r="G238">
        <v>18963</v>
      </c>
      <c r="H238">
        <f t="shared" si="3"/>
        <v>6564471</v>
      </c>
    </row>
    <row r="239" spans="1:8" x14ac:dyDescent="0.3">
      <c r="A239" t="s">
        <v>7</v>
      </c>
      <c r="B239">
        <v>2018</v>
      </c>
      <c r="C239" t="s">
        <v>24</v>
      </c>
      <c r="D239">
        <v>3810606</v>
      </c>
      <c r="E239">
        <v>6833327</v>
      </c>
      <c r="G239">
        <v>19406</v>
      </c>
      <c r="H239">
        <f t="shared" si="3"/>
        <v>10643933</v>
      </c>
    </row>
    <row r="240" spans="1:8" x14ac:dyDescent="0.3">
      <c r="A240" t="s">
        <v>7</v>
      </c>
      <c r="B240">
        <v>2019</v>
      </c>
      <c r="C240" t="s">
        <v>9</v>
      </c>
      <c r="D240">
        <v>2506904</v>
      </c>
      <c r="E240">
        <v>2375603</v>
      </c>
      <c r="F240">
        <v>865239</v>
      </c>
      <c r="G240">
        <v>708068</v>
      </c>
      <c r="H240">
        <f t="shared" si="3"/>
        <v>5747746</v>
      </c>
    </row>
    <row r="241" spans="1:8" x14ac:dyDescent="0.3">
      <c r="A241" t="s">
        <v>7</v>
      </c>
      <c r="B241">
        <v>2019</v>
      </c>
      <c r="C241" t="s">
        <v>10</v>
      </c>
      <c r="D241">
        <v>2788892</v>
      </c>
      <c r="E241">
        <v>2643390</v>
      </c>
      <c r="G241">
        <v>5897</v>
      </c>
      <c r="H241">
        <f t="shared" si="3"/>
        <v>5432282</v>
      </c>
    </row>
    <row r="242" spans="1:8" x14ac:dyDescent="0.3">
      <c r="A242" t="s">
        <v>7</v>
      </c>
      <c r="B242">
        <v>2019</v>
      </c>
      <c r="C242" t="s">
        <v>11</v>
      </c>
      <c r="D242">
        <v>2854308</v>
      </c>
      <c r="E242">
        <v>2706094</v>
      </c>
      <c r="G242">
        <v>5991</v>
      </c>
      <c r="H242">
        <f t="shared" si="3"/>
        <v>5560402</v>
      </c>
    </row>
    <row r="243" spans="1:8" x14ac:dyDescent="0.3">
      <c r="A243" t="s">
        <v>7</v>
      </c>
      <c r="B243">
        <v>2019</v>
      </c>
      <c r="C243" t="s">
        <v>12</v>
      </c>
      <c r="D243">
        <v>2937277</v>
      </c>
      <c r="E243">
        <v>2786858</v>
      </c>
      <c r="G243">
        <v>4987</v>
      </c>
      <c r="H243">
        <f t="shared" si="3"/>
        <v>5724135</v>
      </c>
    </row>
    <row r="244" spans="1:8" x14ac:dyDescent="0.3">
      <c r="A244" t="s">
        <v>7</v>
      </c>
      <c r="B244">
        <v>2019</v>
      </c>
      <c r="C244" t="s">
        <v>13</v>
      </c>
      <c r="D244">
        <v>3077758</v>
      </c>
      <c r="E244">
        <v>2924406</v>
      </c>
      <c r="G244">
        <v>2013</v>
      </c>
      <c r="H244">
        <f t="shared" si="3"/>
        <v>6002164</v>
      </c>
    </row>
    <row r="245" spans="1:8" x14ac:dyDescent="0.3">
      <c r="A245" t="s">
        <v>7</v>
      </c>
      <c r="B245">
        <v>2019</v>
      </c>
      <c r="C245" t="s">
        <v>14</v>
      </c>
      <c r="D245">
        <v>3180645</v>
      </c>
      <c r="E245">
        <v>3027699</v>
      </c>
      <c r="G245">
        <v>90895</v>
      </c>
      <c r="H245">
        <f t="shared" si="3"/>
        <v>6208344</v>
      </c>
    </row>
    <row r="246" spans="1:8" x14ac:dyDescent="0.3">
      <c r="A246" t="s">
        <v>7</v>
      </c>
      <c r="B246">
        <v>2019</v>
      </c>
      <c r="C246" t="s">
        <v>15</v>
      </c>
      <c r="D246">
        <v>3542174</v>
      </c>
      <c r="E246">
        <v>3378771</v>
      </c>
      <c r="G246">
        <v>98569</v>
      </c>
      <c r="H246">
        <f t="shared" si="3"/>
        <v>6920945</v>
      </c>
    </row>
    <row r="247" spans="1:8" x14ac:dyDescent="0.3">
      <c r="A247" t="s">
        <v>7</v>
      </c>
      <c r="B247">
        <v>2019</v>
      </c>
      <c r="C247" t="s">
        <v>16</v>
      </c>
      <c r="D247">
        <v>3969306</v>
      </c>
      <c r="E247">
        <v>3803144</v>
      </c>
      <c r="G247">
        <v>98786</v>
      </c>
      <c r="H247">
        <f t="shared" si="3"/>
        <v>7772450</v>
      </c>
    </row>
    <row r="248" spans="1:8" x14ac:dyDescent="0.3">
      <c r="A248" t="s">
        <v>7</v>
      </c>
      <c r="B248">
        <v>2019</v>
      </c>
      <c r="C248" t="s">
        <v>34</v>
      </c>
      <c r="D248">
        <v>4453487</v>
      </c>
      <c r="E248">
        <v>4302976</v>
      </c>
      <c r="G248">
        <v>84558</v>
      </c>
      <c r="H248">
        <f t="shared" si="3"/>
        <v>8756463</v>
      </c>
    </row>
    <row r="249" spans="1:8" x14ac:dyDescent="0.3">
      <c r="A249" t="s">
        <v>7</v>
      </c>
      <c r="B249">
        <v>2019</v>
      </c>
      <c r="C249" t="s">
        <v>17</v>
      </c>
      <c r="D249">
        <v>5035800</v>
      </c>
      <c r="E249">
        <v>4873470</v>
      </c>
      <c r="G249">
        <v>20909</v>
      </c>
      <c r="H249">
        <f t="shared" si="3"/>
        <v>9909270</v>
      </c>
    </row>
    <row r="250" spans="1:8" x14ac:dyDescent="0.3">
      <c r="A250" t="s">
        <v>7</v>
      </c>
      <c r="B250">
        <v>2019</v>
      </c>
      <c r="C250" t="s">
        <v>18</v>
      </c>
      <c r="D250">
        <v>4231558</v>
      </c>
      <c r="E250">
        <v>4167547</v>
      </c>
      <c r="G250">
        <v>10093</v>
      </c>
      <c r="H250">
        <f t="shared" si="3"/>
        <v>8399105</v>
      </c>
    </row>
    <row r="251" spans="1:8" x14ac:dyDescent="0.3">
      <c r="A251" t="s">
        <v>7</v>
      </c>
      <c r="B251">
        <v>2019</v>
      </c>
      <c r="C251" t="s">
        <v>19</v>
      </c>
      <c r="D251">
        <v>3896612</v>
      </c>
      <c r="E251">
        <v>3851485</v>
      </c>
      <c r="G251">
        <v>9923</v>
      </c>
      <c r="H251">
        <f t="shared" si="3"/>
        <v>7748097</v>
      </c>
    </row>
    <row r="252" spans="1:8" x14ac:dyDescent="0.3">
      <c r="A252" t="s">
        <v>7</v>
      </c>
      <c r="B252">
        <v>2019</v>
      </c>
      <c r="C252" t="s">
        <v>20</v>
      </c>
      <c r="D252">
        <v>3776899</v>
      </c>
      <c r="E252">
        <v>3814446</v>
      </c>
      <c r="G252">
        <v>3359</v>
      </c>
      <c r="H252">
        <f t="shared" si="3"/>
        <v>7591345</v>
      </c>
    </row>
    <row r="253" spans="1:8" x14ac:dyDescent="0.3">
      <c r="A253" t="s">
        <v>7</v>
      </c>
      <c r="B253">
        <v>2019</v>
      </c>
      <c r="C253" t="s">
        <v>21</v>
      </c>
      <c r="D253">
        <v>4217747</v>
      </c>
      <c r="E253">
        <v>4432748</v>
      </c>
      <c r="G253">
        <v>5238</v>
      </c>
      <c r="H253">
        <f t="shared" si="3"/>
        <v>8650495</v>
      </c>
    </row>
    <row r="254" spans="1:8" x14ac:dyDescent="0.3">
      <c r="A254" t="s">
        <v>7</v>
      </c>
      <c r="B254">
        <v>2019</v>
      </c>
      <c r="C254" t="s">
        <v>22</v>
      </c>
      <c r="D254">
        <v>4229351</v>
      </c>
      <c r="E254">
        <v>4747816</v>
      </c>
      <c r="G254">
        <v>4459</v>
      </c>
      <c r="H254">
        <f t="shared" si="3"/>
        <v>8977167</v>
      </c>
    </row>
    <row r="255" spans="1:8" x14ac:dyDescent="0.3">
      <c r="A255" t="s">
        <v>7</v>
      </c>
      <c r="B255">
        <v>2019</v>
      </c>
      <c r="C255" t="s">
        <v>23</v>
      </c>
      <c r="D255">
        <v>3015033</v>
      </c>
      <c r="E255">
        <v>3748199</v>
      </c>
      <c r="G255">
        <v>18963</v>
      </c>
      <c r="H255">
        <f t="shared" si="3"/>
        <v>6763232</v>
      </c>
    </row>
    <row r="256" spans="1:8" x14ac:dyDescent="0.3">
      <c r="A256" t="s">
        <v>7</v>
      </c>
      <c r="B256">
        <v>2019</v>
      </c>
      <c r="C256" t="s">
        <v>24</v>
      </c>
      <c r="D256">
        <v>3945821</v>
      </c>
      <c r="E256">
        <v>7020706</v>
      </c>
      <c r="G256">
        <v>24406</v>
      </c>
      <c r="H256">
        <f t="shared" si="3"/>
        <v>10966527</v>
      </c>
    </row>
    <row r="257" spans="1:8" x14ac:dyDescent="0.3">
      <c r="A257" t="s">
        <v>8</v>
      </c>
      <c r="B257">
        <v>2015</v>
      </c>
      <c r="C257" t="s">
        <v>9</v>
      </c>
      <c r="D257">
        <v>2699299</v>
      </c>
      <c r="E257">
        <v>2550469</v>
      </c>
      <c r="F257">
        <v>707019</v>
      </c>
      <c r="G257">
        <v>19056</v>
      </c>
      <c r="H257">
        <f t="shared" si="3"/>
        <v>5956787</v>
      </c>
    </row>
    <row r="258" spans="1:8" x14ac:dyDescent="0.3">
      <c r="A258" t="s">
        <v>8</v>
      </c>
      <c r="B258">
        <v>2015</v>
      </c>
      <c r="C258" t="s">
        <v>10</v>
      </c>
      <c r="D258">
        <v>2347944</v>
      </c>
      <c r="E258">
        <v>2222498</v>
      </c>
      <c r="G258">
        <v>9256</v>
      </c>
      <c r="H258">
        <f t="shared" ref="H258:H321" si="4">SUM(D258:F258)</f>
        <v>4570442</v>
      </c>
    </row>
    <row r="259" spans="1:8" x14ac:dyDescent="0.3">
      <c r="A259" t="s">
        <v>8</v>
      </c>
      <c r="B259">
        <v>2015</v>
      </c>
      <c r="C259" t="s">
        <v>11</v>
      </c>
      <c r="D259">
        <v>2136578</v>
      </c>
      <c r="E259">
        <v>2026892</v>
      </c>
      <c r="G259">
        <v>3900</v>
      </c>
      <c r="H259">
        <f t="shared" si="4"/>
        <v>4163470</v>
      </c>
    </row>
    <row r="260" spans="1:8" x14ac:dyDescent="0.3">
      <c r="A260" t="s">
        <v>8</v>
      </c>
      <c r="B260">
        <v>2015</v>
      </c>
      <c r="C260" t="s">
        <v>12</v>
      </c>
      <c r="D260">
        <v>1953876</v>
      </c>
      <c r="E260">
        <v>1864143</v>
      </c>
      <c r="G260">
        <v>4899</v>
      </c>
      <c r="H260">
        <f t="shared" si="4"/>
        <v>3818019</v>
      </c>
    </row>
    <row r="261" spans="1:8" x14ac:dyDescent="0.3">
      <c r="A261" t="s">
        <v>8</v>
      </c>
      <c r="B261">
        <v>2015</v>
      </c>
      <c r="C261" t="s">
        <v>13</v>
      </c>
      <c r="D261">
        <v>1731873</v>
      </c>
      <c r="E261">
        <v>1653358</v>
      </c>
      <c r="G261">
        <v>7843</v>
      </c>
      <c r="H261">
        <f t="shared" si="4"/>
        <v>3385231</v>
      </c>
    </row>
    <row r="262" spans="1:8" x14ac:dyDescent="0.3">
      <c r="A262" t="s">
        <v>8</v>
      </c>
      <c r="B262">
        <v>2015</v>
      </c>
      <c r="C262" t="s">
        <v>14</v>
      </c>
      <c r="D262">
        <v>1504340</v>
      </c>
      <c r="E262">
        <v>1442354</v>
      </c>
      <c r="G262">
        <v>4567</v>
      </c>
      <c r="H262">
        <f t="shared" si="4"/>
        <v>2946694</v>
      </c>
    </row>
    <row r="263" spans="1:8" x14ac:dyDescent="0.3">
      <c r="A263" t="s">
        <v>8</v>
      </c>
      <c r="B263">
        <v>2015</v>
      </c>
      <c r="C263" t="s">
        <v>15</v>
      </c>
      <c r="D263">
        <v>1274314</v>
      </c>
      <c r="E263">
        <v>1222971</v>
      </c>
      <c r="G263">
        <v>42090</v>
      </c>
      <c r="H263">
        <f t="shared" si="4"/>
        <v>2497285</v>
      </c>
    </row>
    <row r="264" spans="1:8" x14ac:dyDescent="0.3">
      <c r="A264" t="s">
        <v>8</v>
      </c>
      <c r="B264">
        <v>2015</v>
      </c>
      <c r="C264" t="s">
        <v>16</v>
      </c>
      <c r="D264">
        <v>1103759</v>
      </c>
      <c r="E264">
        <v>1072083</v>
      </c>
      <c r="G264">
        <v>1593</v>
      </c>
      <c r="H264">
        <f t="shared" si="4"/>
        <v>2175842</v>
      </c>
    </row>
    <row r="265" spans="1:8" x14ac:dyDescent="0.3">
      <c r="A265" t="s">
        <v>8</v>
      </c>
      <c r="B265">
        <v>2015</v>
      </c>
      <c r="C265" t="s">
        <v>34</v>
      </c>
      <c r="D265">
        <v>909512</v>
      </c>
      <c r="E265">
        <v>910083</v>
      </c>
      <c r="G265">
        <v>4692</v>
      </c>
      <c r="H265">
        <f t="shared" si="4"/>
        <v>1819595</v>
      </c>
    </row>
    <row r="266" spans="1:8" x14ac:dyDescent="0.3">
      <c r="A266" t="s">
        <v>8</v>
      </c>
      <c r="B266">
        <v>2015</v>
      </c>
      <c r="C266" t="s">
        <v>17</v>
      </c>
      <c r="D266">
        <v>708284</v>
      </c>
      <c r="E266">
        <v>747896</v>
      </c>
      <c r="G266">
        <v>3592</v>
      </c>
      <c r="H266">
        <f t="shared" si="4"/>
        <v>1456180</v>
      </c>
    </row>
    <row r="267" spans="1:8" x14ac:dyDescent="0.3">
      <c r="A267" t="s">
        <v>8</v>
      </c>
      <c r="B267">
        <v>2015</v>
      </c>
      <c r="C267" t="s">
        <v>18</v>
      </c>
      <c r="D267">
        <v>454794</v>
      </c>
      <c r="E267">
        <v>513824</v>
      </c>
      <c r="G267">
        <v>4567</v>
      </c>
      <c r="H267">
        <f t="shared" si="4"/>
        <v>968618</v>
      </c>
    </row>
    <row r="268" spans="1:8" x14ac:dyDescent="0.3">
      <c r="A268" t="s">
        <v>8</v>
      </c>
      <c r="B268">
        <v>2015</v>
      </c>
      <c r="C268" t="s">
        <v>19</v>
      </c>
      <c r="D268">
        <v>334721</v>
      </c>
      <c r="E268">
        <v>384249</v>
      </c>
      <c r="G268">
        <v>7654</v>
      </c>
      <c r="H268">
        <f t="shared" si="4"/>
        <v>718970</v>
      </c>
    </row>
    <row r="269" spans="1:8" x14ac:dyDescent="0.3">
      <c r="A269" t="s">
        <v>8</v>
      </c>
      <c r="B269">
        <v>2015</v>
      </c>
      <c r="C269" t="s">
        <v>20</v>
      </c>
      <c r="D269">
        <v>325233</v>
      </c>
      <c r="E269">
        <v>372887</v>
      </c>
      <c r="G269">
        <v>5986</v>
      </c>
      <c r="H269">
        <f t="shared" si="4"/>
        <v>698120</v>
      </c>
    </row>
    <row r="270" spans="1:8" x14ac:dyDescent="0.3">
      <c r="A270" t="s">
        <v>8</v>
      </c>
      <c r="B270">
        <v>2015</v>
      </c>
      <c r="C270" t="s">
        <v>21</v>
      </c>
      <c r="D270">
        <v>191853</v>
      </c>
      <c r="E270">
        <v>208880</v>
      </c>
      <c r="G270">
        <v>26008</v>
      </c>
      <c r="H270">
        <f t="shared" si="4"/>
        <v>400733</v>
      </c>
    </row>
    <row r="271" spans="1:8" x14ac:dyDescent="0.3">
      <c r="A271" t="s">
        <v>8</v>
      </c>
      <c r="B271">
        <v>2015</v>
      </c>
      <c r="C271" t="s">
        <v>22</v>
      </c>
      <c r="D271">
        <v>152462</v>
      </c>
      <c r="E271">
        <v>177091</v>
      </c>
      <c r="G271">
        <v>6980</v>
      </c>
      <c r="H271">
        <f t="shared" si="4"/>
        <v>329553</v>
      </c>
    </row>
    <row r="272" spans="1:8" x14ac:dyDescent="0.3">
      <c r="A272" t="s">
        <v>8</v>
      </c>
      <c r="B272">
        <v>2015</v>
      </c>
      <c r="C272" t="s">
        <v>23</v>
      </c>
      <c r="D272">
        <v>91373</v>
      </c>
      <c r="E272">
        <v>119383</v>
      </c>
      <c r="G272">
        <v>2457</v>
      </c>
      <c r="H272">
        <f t="shared" si="4"/>
        <v>210756</v>
      </c>
    </row>
    <row r="273" spans="1:8" x14ac:dyDescent="0.3">
      <c r="A273" t="s">
        <v>8</v>
      </c>
      <c r="B273">
        <v>2015</v>
      </c>
      <c r="C273" t="s">
        <v>24</v>
      </c>
      <c r="D273">
        <v>63524</v>
      </c>
      <c r="E273">
        <v>99465</v>
      </c>
      <c r="G273">
        <v>631</v>
      </c>
      <c r="H273">
        <f t="shared" si="4"/>
        <v>162989</v>
      </c>
    </row>
    <row r="274" spans="1:8" x14ac:dyDescent="0.3">
      <c r="A274" t="s">
        <v>8</v>
      </c>
      <c r="B274">
        <v>2016</v>
      </c>
      <c r="C274" t="s">
        <v>9</v>
      </c>
      <c r="D274">
        <v>2770946</v>
      </c>
      <c r="E274">
        <v>2617785</v>
      </c>
      <c r="F274">
        <v>702804</v>
      </c>
      <c r="G274">
        <f>14088+19056</f>
        <v>33144</v>
      </c>
      <c r="H274">
        <f t="shared" si="4"/>
        <v>6091535</v>
      </c>
    </row>
    <row r="275" spans="1:8" x14ac:dyDescent="0.3">
      <c r="A275" t="s">
        <v>8</v>
      </c>
      <c r="B275">
        <v>2016</v>
      </c>
      <c r="C275" t="s">
        <v>10</v>
      </c>
      <c r="D275">
        <v>2408116</v>
      </c>
      <c r="E275">
        <v>2279370</v>
      </c>
      <c r="G275">
        <v>9256</v>
      </c>
      <c r="H275">
        <f t="shared" si="4"/>
        <v>4687486</v>
      </c>
    </row>
    <row r="276" spans="1:8" x14ac:dyDescent="0.3">
      <c r="A276" t="s">
        <v>8</v>
      </c>
      <c r="B276">
        <v>2016</v>
      </c>
      <c r="C276" t="s">
        <v>11</v>
      </c>
      <c r="D276">
        <v>2175733</v>
      </c>
      <c r="E276">
        <v>2063256</v>
      </c>
      <c r="G276">
        <v>3900</v>
      </c>
      <c r="H276">
        <f t="shared" si="4"/>
        <v>4238989</v>
      </c>
    </row>
    <row r="277" spans="1:8" x14ac:dyDescent="0.3">
      <c r="A277" t="s">
        <v>8</v>
      </c>
      <c r="B277">
        <v>2016</v>
      </c>
      <c r="C277" t="s">
        <v>12</v>
      </c>
      <c r="D277">
        <v>1993872</v>
      </c>
      <c r="E277">
        <v>1902017</v>
      </c>
      <c r="G277">
        <v>4899</v>
      </c>
      <c r="H277">
        <f t="shared" si="4"/>
        <v>3895889</v>
      </c>
    </row>
    <row r="278" spans="1:8" x14ac:dyDescent="0.3">
      <c r="A278" t="s">
        <v>8</v>
      </c>
      <c r="B278">
        <v>2016</v>
      </c>
      <c r="C278" t="s">
        <v>13</v>
      </c>
      <c r="D278">
        <v>1778046</v>
      </c>
      <c r="E278">
        <v>1698359</v>
      </c>
      <c r="G278">
        <v>7843</v>
      </c>
      <c r="H278">
        <f t="shared" si="4"/>
        <v>3476405</v>
      </c>
    </row>
    <row r="279" spans="1:8" x14ac:dyDescent="0.3">
      <c r="A279" t="s">
        <v>8</v>
      </c>
      <c r="B279">
        <v>2016</v>
      </c>
      <c r="C279" t="s">
        <v>14</v>
      </c>
      <c r="D279">
        <v>1551154</v>
      </c>
      <c r="E279">
        <v>1487201</v>
      </c>
      <c r="G279">
        <v>34567</v>
      </c>
      <c r="H279">
        <f t="shared" si="4"/>
        <v>3038355</v>
      </c>
    </row>
    <row r="280" spans="1:8" x14ac:dyDescent="0.3">
      <c r="A280" t="s">
        <v>8</v>
      </c>
      <c r="B280">
        <v>2016</v>
      </c>
      <c r="C280" t="s">
        <v>15</v>
      </c>
      <c r="D280">
        <v>1315675</v>
      </c>
      <c r="E280">
        <v>1262575</v>
      </c>
      <c r="G280">
        <v>42090</v>
      </c>
      <c r="H280">
        <f t="shared" si="4"/>
        <v>2578250</v>
      </c>
    </row>
    <row r="281" spans="1:8" x14ac:dyDescent="0.3">
      <c r="A281" t="s">
        <v>8</v>
      </c>
      <c r="B281">
        <v>2016</v>
      </c>
      <c r="C281" t="s">
        <v>16</v>
      </c>
      <c r="D281">
        <v>1137279</v>
      </c>
      <c r="E281">
        <v>1101438</v>
      </c>
      <c r="G281">
        <v>1593</v>
      </c>
      <c r="H281">
        <f t="shared" si="4"/>
        <v>2238717</v>
      </c>
    </row>
    <row r="282" spans="1:8" x14ac:dyDescent="0.3">
      <c r="A282" t="s">
        <v>8</v>
      </c>
      <c r="B282">
        <v>2016</v>
      </c>
      <c r="C282" t="s">
        <v>34</v>
      </c>
      <c r="D282">
        <v>946827</v>
      </c>
      <c r="E282">
        <v>941019</v>
      </c>
      <c r="G282">
        <v>4692</v>
      </c>
      <c r="H282">
        <f t="shared" si="4"/>
        <v>1887846</v>
      </c>
    </row>
    <row r="283" spans="1:8" x14ac:dyDescent="0.3">
      <c r="A283" t="s">
        <v>8</v>
      </c>
      <c r="B283">
        <v>2016</v>
      </c>
      <c r="C283" t="s">
        <v>17</v>
      </c>
      <c r="D283">
        <v>750770</v>
      </c>
      <c r="E283">
        <v>784897</v>
      </c>
      <c r="G283">
        <v>3592</v>
      </c>
      <c r="H283">
        <f t="shared" si="4"/>
        <v>1535667</v>
      </c>
    </row>
    <row r="284" spans="1:8" x14ac:dyDescent="0.3">
      <c r="A284" t="s">
        <v>8</v>
      </c>
      <c r="B284">
        <v>2016</v>
      </c>
      <c r="C284" t="s">
        <v>18</v>
      </c>
      <c r="D284">
        <v>494445</v>
      </c>
      <c r="E284">
        <v>553678</v>
      </c>
      <c r="G284">
        <v>4567</v>
      </c>
      <c r="H284">
        <f t="shared" si="4"/>
        <v>1048123</v>
      </c>
    </row>
    <row r="285" spans="1:8" x14ac:dyDescent="0.3">
      <c r="A285" t="s">
        <v>8</v>
      </c>
      <c r="B285">
        <v>2016</v>
      </c>
      <c r="C285" t="s">
        <v>19</v>
      </c>
      <c r="D285">
        <v>341392</v>
      </c>
      <c r="E285">
        <v>394089</v>
      </c>
      <c r="G285">
        <v>7654</v>
      </c>
      <c r="H285">
        <f t="shared" si="4"/>
        <v>735481</v>
      </c>
    </row>
    <row r="286" spans="1:8" x14ac:dyDescent="0.3">
      <c r="A286" t="s">
        <v>8</v>
      </c>
      <c r="B286">
        <v>2016</v>
      </c>
      <c r="C286" t="s">
        <v>20</v>
      </c>
      <c r="D286">
        <v>327365</v>
      </c>
      <c r="E286">
        <v>379753</v>
      </c>
      <c r="G286">
        <v>5986</v>
      </c>
      <c r="H286">
        <f t="shared" si="4"/>
        <v>707118</v>
      </c>
    </row>
    <row r="287" spans="1:8" x14ac:dyDescent="0.3">
      <c r="A287" t="s">
        <v>8</v>
      </c>
      <c r="B287">
        <v>2016</v>
      </c>
      <c r="C287" t="s">
        <v>21</v>
      </c>
      <c r="D287">
        <v>207086</v>
      </c>
      <c r="E287">
        <v>229818</v>
      </c>
      <c r="G287">
        <v>26008</v>
      </c>
      <c r="H287">
        <f t="shared" si="4"/>
        <v>436904</v>
      </c>
    </row>
    <row r="288" spans="1:8" x14ac:dyDescent="0.3">
      <c r="A288" t="s">
        <v>8</v>
      </c>
      <c r="B288">
        <v>2016</v>
      </c>
      <c r="C288" t="s">
        <v>22</v>
      </c>
      <c r="D288">
        <v>151097</v>
      </c>
      <c r="E288">
        <v>174476</v>
      </c>
      <c r="G288">
        <v>6980</v>
      </c>
      <c r="H288">
        <f t="shared" si="4"/>
        <v>325573</v>
      </c>
    </row>
    <row r="289" spans="1:8" x14ac:dyDescent="0.3">
      <c r="A289" t="s">
        <v>8</v>
      </c>
      <c r="B289">
        <v>2016</v>
      </c>
      <c r="C289" t="s">
        <v>23</v>
      </c>
      <c r="D289">
        <v>95240</v>
      </c>
      <c r="E289">
        <v>122853</v>
      </c>
      <c r="G289">
        <v>2457</v>
      </c>
      <c r="H289">
        <f t="shared" si="4"/>
        <v>218093</v>
      </c>
    </row>
    <row r="290" spans="1:8" x14ac:dyDescent="0.3">
      <c r="A290" t="s">
        <v>8</v>
      </c>
      <c r="B290">
        <v>2016</v>
      </c>
      <c r="C290" t="s">
        <v>24</v>
      </c>
      <c r="D290">
        <v>67922</v>
      </c>
      <c r="E290">
        <v>105083</v>
      </c>
      <c r="G290">
        <f>631-123</f>
        <v>508</v>
      </c>
      <c r="H290">
        <f t="shared" si="4"/>
        <v>173005</v>
      </c>
    </row>
    <row r="291" spans="1:8" x14ac:dyDescent="0.3">
      <c r="A291" t="s">
        <v>8</v>
      </c>
      <c r="B291">
        <v>2017</v>
      </c>
      <c r="C291" t="s">
        <v>9</v>
      </c>
      <c r="D291">
        <v>2792143</v>
      </c>
      <c r="E291">
        <v>2637076</v>
      </c>
      <c r="F291">
        <v>704050</v>
      </c>
      <c r="G291">
        <f>44+19056</f>
        <v>19100</v>
      </c>
      <c r="H291">
        <f t="shared" si="4"/>
        <v>6133269</v>
      </c>
    </row>
    <row r="292" spans="1:8" x14ac:dyDescent="0.3">
      <c r="A292" t="s">
        <v>8</v>
      </c>
      <c r="B292">
        <v>2017</v>
      </c>
      <c r="C292" t="s">
        <v>10</v>
      </c>
      <c r="D292">
        <v>2476653</v>
      </c>
      <c r="E292">
        <v>2343931</v>
      </c>
      <c r="G292">
        <v>9256</v>
      </c>
      <c r="H292">
        <f t="shared" si="4"/>
        <v>4820584</v>
      </c>
    </row>
    <row r="293" spans="1:8" x14ac:dyDescent="0.3">
      <c r="A293" t="s">
        <v>8</v>
      </c>
      <c r="B293">
        <v>2017</v>
      </c>
      <c r="C293" t="s">
        <v>11</v>
      </c>
      <c r="D293">
        <v>2213065</v>
      </c>
      <c r="E293">
        <v>2098010</v>
      </c>
      <c r="G293">
        <v>3900</v>
      </c>
      <c r="H293">
        <f t="shared" si="4"/>
        <v>4311075</v>
      </c>
    </row>
    <row r="294" spans="1:8" x14ac:dyDescent="0.3">
      <c r="A294" t="s">
        <v>8</v>
      </c>
      <c r="B294">
        <v>2017</v>
      </c>
      <c r="C294" t="s">
        <v>12</v>
      </c>
      <c r="D294">
        <v>2030266</v>
      </c>
      <c r="E294">
        <v>1935277</v>
      </c>
      <c r="G294">
        <v>4899</v>
      </c>
      <c r="H294">
        <f t="shared" si="4"/>
        <v>3965543</v>
      </c>
    </row>
    <row r="295" spans="1:8" x14ac:dyDescent="0.3">
      <c r="A295" t="s">
        <v>8</v>
      </c>
      <c r="B295">
        <v>2017</v>
      </c>
      <c r="C295" t="s">
        <v>13</v>
      </c>
      <c r="D295">
        <v>1822729</v>
      </c>
      <c r="E295">
        <v>1742413</v>
      </c>
      <c r="G295">
        <v>7843</v>
      </c>
      <c r="H295">
        <f t="shared" si="4"/>
        <v>3565142</v>
      </c>
    </row>
    <row r="296" spans="1:8" x14ac:dyDescent="0.3">
      <c r="A296" t="s">
        <v>8</v>
      </c>
      <c r="B296">
        <v>2017</v>
      </c>
      <c r="C296" t="s">
        <v>14</v>
      </c>
      <c r="D296">
        <v>1595396</v>
      </c>
      <c r="E296">
        <v>1529014</v>
      </c>
      <c r="G296">
        <v>34567</v>
      </c>
      <c r="H296">
        <f t="shared" si="4"/>
        <v>3124410</v>
      </c>
    </row>
    <row r="297" spans="1:8" x14ac:dyDescent="0.3">
      <c r="A297" t="s">
        <v>8</v>
      </c>
      <c r="B297">
        <v>2017</v>
      </c>
      <c r="C297" t="s">
        <v>15</v>
      </c>
      <c r="D297">
        <v>1359605</v>
      </c>
      <c r="E297">
        <v>1305210</v>
      </c>
      <c r="G297">
        <v>42090</v>
      </c>
      <c r="H297">
        <f t="shared" si="4"/>
        <v>2664815</v>
      </c>
    </row>
    <row r="298" spans="1:8" x14ac:dyDescent="0.3">
      <c r="A298" t="s">
        <v>8</v>
      </c>
      <c r="B298">
        <v>2017</v>
      </c>
      <c r="C298" t="s">
        <v>16</v>
      </c>
      <c r="D298">
        <v>1167817</v>
      </c>
      <c r="E298">
        <v>1128200</v>
      </c>
      <c r="G298">
        <v>1593</v>
      </c>
      <c r="H298">
        <f t="shared" si="4"/>
        <v>2296017</v>
      </c>
    </row>
    <row r="299" spans="1:8" x14ac:dyDescent="0.3">
      <c r="A299" t="s">
        <v>8</v>
      </c>
      <c r="B299">
        <v>2017</v>
      </c>
      <c r="C299" t="s">
        <v>34</v>
      </c>
      <c r="D299">
        <v>984345</v>
      </c>
      <c r="E299">
        <v>972455</v>
      </c>
      <c r="G299">
        <v>4692</v>
      </c>
      <c r="H299">
        <f t="shared" si="4"/>
        <v>1956800</v>
      </c>
    </row>
    <row r="300" spans="1:8" x14ac:dyDescent="0.3">
      <c r="A300" t="s">
        <v>8</v>
      </c>
      <c r="B300">
        <v>2017</v>
      </c>
      <c r="C300" t="s">
        <v>17</v>
      </c>
      <c r="D300">
        <v>788292</v>
      </c>
      <c r="E300">
        <v>815856</v>
      </c>
      <c r="G300">
        <v>3592</v>
      </c>
      <c r="H300">
        <f t="shared" si="4"/>
        <v>1604148</v>
      </c>
    </row>
    <row r="301" spans="1:8" x14ac:dyDescent="0.3">
      <c r="A301" t="s">
        <v>8</v>
      </c>
      <c r="B301">
        <v>2017</v>
      </c>
      <c r="C301" t="s">
        <v>18</v>
      </c>
      <c r="D301">
        <v>540980</v>
      </c>
      <c r="E301">
        <v>598800</v>
      </c>
      <c r="G301">
        <v>4567</v>
      </c>
      <c r="H301">
        <f t="shared" si="4"/>
        <v>1139780</v>
      </c>
    </row>
    <row r="302" spans="1:8" x14ac:dyDescent="0.3">
      <c r="A302" t="s">
        <v>8</v>
      </c>
      <c r="B302">
        <v>2017</v>
      </c>
      <c r="C302" t="s">
        <v>19</v>
      </c>
      <c r="D302">
        <v>354142</v>
      </c>
      <c r="E302">
        <v>410862</v>
      </c>
      <c r="G302">
        <v>7654</v>
      </c>
      <c r="H302">
        <f t="shared" si="4"/>
        <v>765004</v>
      </c>
    </row>
    <row r="303" spans="1:8" x14ac:dyDescent="0.3">
      <c r="A303" t="s">
        <v>8</v>
      </c>
      <c r="B303">
        <v>2017</v>
      </c>
      <c r="C303" t="s">
        <v>20</v>
      </c>
      <c r="D303">
        <v>321138</v>
      </c>
      <c r="E303">
        <v>375643</v>
      </c>
      <c r="G303">
        <v>5986</v>
      </c>
      <c r="H303">
        <f t="shared" si="4"/>
        <v>696781</v>
      </c>
    </row>
    <row r="304" spans="1:8" x14ac:dyDescent="0.3">
      <c r="A304" t="s">
        <v>8</v>
      </c>
      <c r="B304">
        <v>2017</v>
      </c>
      <c r="C304" t="s">
        <v>21</v>
      </c>
      <c r="D304">
        <v>229520</v>
      </c>
      <c r="E304">
        <v>260862</v>
      </c>
      <c r="G304">
        <v>26008</v>
      </c>
      <c r="H304">
        <f t="shared" si="4"/>
        <v>490382</v>
      </c>
    </row>
    <row r="305" spans="1:8" x14ac:dyDescent="0.3">
      <c r="A305" t="s">
        <v>8</v>
      </c>
      <c r="B305">
        <v>2017</v>
      </c>
      <c r="C305" t="s">
        <v>22</v>
      </c>
      <c r="D305">
        <v>147053</v>
      </c>
      <c r="E305">
        <v>168766</v>
      </c>
      <c r="G305">
        <v>6980</v>
      </c>
      <c r="H305">
        <f t="shared" si="4"/>
        <v>315819</v>
      </c>
    </row>
    <row r="306" spans="1:8" x14ac:dyDescent="0.3">
      <c r="A306" t="s">
        <v>8</v>
      </c>
      <c r="B306">
        <v>2017</v>
      </c>
      <c r="C306" t="s">
        <v>23</v>
      </c>
      <c r="D306">
        <v>99679</v>
      </c>
      <c r="E306">
        <v>127190</v>
      </c>
      <c r="G306">
        <v>2457</v>
      </c>
      <c r="H306">
        <f t="shared" si="4"/>
        <v>226869</v>
      </c>
    </row>
    <row r="307" spans="1:8" x14ac:dyDescent="0.3">
      <c r="A307" t="s">
        <v>8</v>
      </c>
      <c r="B307">
        <v>2017</v>
      </c>
      <c r="C307" t="s">
        <v>24</v>
      </c>
      <c r="D307">
        <v>71111</v>
      </c>
      <c r="E307">
        <v>109286</v>
      </c>
      <c r="G307">
        <f>631-241</f>
        <v>390</v>
      </c>
      <c r="H307">
        <f t="shared" si="4"/>
        <v>180397</v>
      </c>
    </row>
    <row r="308" spans="1:8" x14ac:dyDescent="0.3">
      <c r="A308" t="s">
        <v>8</v>
      </c>
      <c r="B308">
        <v>2018</v>
      </c>
      <c r="C308" t="s">
        <v>9</v>
      </c>
      <c r="D308">
        <v>2779840</v>
      </c>
      <c r="E308">
        <v>2624557</v>
      </c>
      <c r="F308">
        <v>708829</v>
      </c>
      <c r="G308">
        <f>2124+19056</f>
        <v>21180</v>
      </c>
      <c r="H308">
        <f t="shared" si="4"/>
        <v>6113226</v>
      </c>
    </row>
    <row r="309" spans="1:8" x14ac:dyDescent="0.3">
      <c r="A309" t="s">
        <v>8</v>
      </c>
      <c r="B309">
        <v>2018</v>
      </c>
      <c r="C309" t="s">
        <v>10</v>
      </c>
      <c r="D309">
        <v>2552064</v>
      </c>
      <c r="E309">
        <v>2414881</v>
      </c>
      <c r="G309">
        <v>9256</v>
      </c>
      <c r="H309">
        <f t="shared" si="4"/>
        <v>4966945</v>
      </c>
    </row>
    <row r="310" spans="1:8" x14ac:dyDescent="0.3">
      <c r="A310" t="s">
        <v>8</v>
      </c>
      <c r="B310">
        <v>2018</v>
      </c>
      <c r="C310" t="s">
        <v>11</v>
      </c>
      <c r="D310">
        <v>2249714</v>
      </c>
      <c r="E310">
        <v>2132280</v>
      </c>
      <c r="G310">
        <v>3900</v>
      </c>
      <c r="H310">
        <f t="shared" si="4"/>
        <v>4381994</v>
      </c>
    </row>
    <row r="311" spans="1:8" x14ac:dyDescent="0.3">
      <c r="A311" t="s">
        <v>8</v>
      </c>
      <c r="B311">
        <v>2018</v>
      </c>
      <c r="C311" t="s">
        <v>12</v>
      </c>
      <c r="D311">
        <v>2064014</v>
      </c>
      <c r="E311">
        <v>1965204</v>
      </c>
      <c r="G311">
        <v>4899</v>
      </c>
      <c r="H311">
        <f t="shared" si="4"/>
        <v>4029218</v>
      </c>
    </row>
    <row r="312" spans="1:8" x14ac:dyDescent="0.3">
      <c r="A312" t="s">
        <v>8</v>
      </c>
      <c r="B312">
        <v>2018</v>
      </c>
      <c r="C312" t="s">
        <v>13</v>
      </c>
      <c r="D312">
        <v>1865296</v>
      </c>
      <c r="E312">
        <v>1784571</v>
      </c>
      <c r="G312">
        <v>7843</v>
      </c>
      <c r="H312">
        <f t="shared" si="4"/>
        <v>3649867</v>
      </c>
    </row>
    <row r="313" spans="1:8" x14ac:dyDescent="0.3">
      <c r="A313" t="s">
        <v>8</v>
      </c>
      <c r="B313">
        <v>2018</v>
      </c>
      <c r="C313" t="s">
        <v>14</v>
      </c>
      <c r="D313">
        <v>1637486</v>
      </c>
      <c r="E313">
        <v>1568583</v>
      </c>
      <c r="G313">
        <v>34567</v>
      </c>
      <c r="H313">
        <f t="shared" si="4"/>
        <v>3206069</v>
      </c>
    </row>
    <row r="314" spans="1:8" x14ac:dyDescent="0.3">
      <c r="A314" t="s">
        <v>8</v>
      </c>
      <c r="B314">
        <v>2018</v>
      </c>
      <c r="C314" t="s">
        <v>15</v>
      </c>
      <c r="D314">
        <v>1404901</v>
      </c>
      <c r="E314">
        <v>1349473</v>
      </c>
      <c r="G314">
        <v>42090</v>
      </c>
      <c r="H314">
        <f t="shared" si="4"/>
        <v>2754374</v>
      </c>
    </row>
    <row r="315" spans="1:8" x14ac:dyDescent="0.3">
      <c r="A315" t="s">
        <v>8</v>
      </c>
      <c r="B315">
        <v>2018</v>
      </c>
      <c r="C315" t="s">
        <v>16</v>
      </c>
      <c r="D315">
        <v>1197104</v>
      </c>
      <c r="E315">
        <v>1154177</v>
      </c>
      <c r="G315">
        <v>1593</v>
      </c>
      <c r="H315">
        <f t="shared" si="4"/>
        <v>2351281</v>
      </c>
    </row>
    <row r="316" spans="1:8" x14ac:dyDescent="0.3">
      <c r="A316" t="s">
        <v>8</v>
      </c>
      <c r="B316">
        <v>2018</v>
      </c>
      <c r="C316" t="s">
        <v>34</v>
      </c>
      <c r="D316">
        <v>1021262</v>
      </c>
      <c r="E316">
        <v>1003676</v>
      </c>
      <c r="G316">
        <v>4692</v>
      </c>
      <c r="H316">
        <f t="shared" si="4"/>
        <v>2024938</v>
      </c>
    </row>
    <row r="317" spans="1:8" x14ac:dyDescent="0.3">
      <c r="A317" t="s">
        <v>8</v>
      </c>
      <c r="B317">
        <v>2018</v>
      </c>
      <c r="C317" t="s">
        <v>17</v>
      </c>
      <c r="D317">
        <v>822367</v>
      </c>
      <c r="E317">
        <v>842677</v>
      </c>
      <c r="G317">
        <v>3592</v>
      </c>
      <c r="H317">
        <f t="shared" si="4"/>
        <v>1665044</v>
      </c>
    </row>
    <row r="318" spans="1:8" x14ac:dyDescent="0.3">
      <c r="A318" t="s">
        <v>8</v>
      </c>
      <c r="B318">
        <v>2018</v>
      </c>
      <c r="C318" t="s">
        <v>18</v>
      </c>
      <c r="D318">
        <v>591081</v>
      </c>
      <c r="E318">
        <v>646056</v>
      </c>
      <c r="G318">
        <v>4567</v>
      </c>
      <c r="H318">
        <f t="shared" si="4"/>
        <v>1237137</v>
      </c>
    </row>
    <row r="319" spans="1:8" x14ac:dyDescent="0.3">
      <c r="A319" t="s">
        <v>8</v>
      </c>
      <c r="B319">
        <v>2018</v>
      </c>
      <c r="C319" t="s">
        <v>19</v>
      </c>
      <c r="D319">
        <v>373156</v>
      </c>
      <c r="E319">
        <v>434080</v>
      </c>
      <c r="G319">
        <v>7654</v>
      </c>
      <c r="H319">
        <f t="shared" si="4"/>
        <v>807236</v>
      </c>
    </row>
    <row r="320" spans="1:8" x14ac:dyDescent="0.3">
      <c r="A320" t="s">
        <v>8</v>
      </c>
      <c r="B320">
        <v>2018</v>
      </c>
      <c r="C320" t="s">
        <v>20</v>
      </c>
      <c r="D320">
        <v>311402</v>
      </c>
      <c r="E320">
        <v>366321</v>
      </c>
      <c r="G320">
        <v>5986</v>
      </c>
      <c r="H320">
        <f t="shared" si="4"/>
        <v>677723</v>
      </c>
    </row>
    <row r="321" spans="1:8" x14ac:dyDescent="0.3">
      <c r="A321" t="s">
        <v>8</v>
      </c>
      <c r="B321">
        <v>2018</v>
      </c>
      <c r="C321" t="s">
        <v>21</v>
      </c>
      <c r="D321">
        <v>253887</v>
      </c>
      <c r="E321">
        <v>295306</v>
      </c>
      <c r="G321">
        <v>26008</v>
      </c>
      <c r="H321">
        <f t="shared" si="4"/>
        <v>549193</v>
      </c>
    </row>
    <row r="322" spans="1:8" x14ac:dyDescent="0.3">
      <c r="A322" t="s">
        <v>8</v>
      </c>
      <c r="B322">
        <v>2018</v>
      </c>
      <c r="C322" t="s">
        <v>22</v>
      </c>
      <c r="D322">
        <v>143612</v>
      </c>
      <c r="E322">
        <v>164111</v>
      </c>
      <c r="G322">
        <v>6980</v>
      </c>
      <c r="H322">
        <f t="shared" ref="H322:H385" si="5">SUM(D322:F322)</f>
        <v>307723</v>
      </c>
    </row>
    <row r="323" spans="1:8" x14ac:dyDescent="0.3">
      <c r="A323" t="s">
        <v>8</v>
      </c>
      <c r="B323">
        <v>2018</v>
      </c>
      <c r="C323" t="s">
        <v>23</v>
      </c>
      <c r="D323">
        <v>103787</v>
      </c>
      <c r="E323">
        <v>131491</v>
      </c>
      <c r="G323">
        <v>2457</v>
      </c>
      <c r="H323">
        <f t="shared" si="5"/>
        <v>235278</v>
      </c>
    </row>
    <row r="324" spans="1:8" x14ac:dyDescent="0.3">
      <c r="A324" t="s">
        <v>8</v>
      </c>
      <c r="B324">
        <v>2018</v>
      </c>
      <c r="C324" t="s">
        <v>24</v>
      </c>
      <c r="D324">
        <v>73094</v>
      </c>
      <c r="E324">
        <v>112093</v>
      </c>
      <c r="G324">
        <f>631-141</f>
        <v>490</v>
      </c>
      <c r="H324">
        <f t="shared" si="5"/>
        <v>185187</v>
      </c>
    </row>
    <row r="325" spans="1:8" x14ac:dyDescent="0.3">
      <c r="A325" t="s">
        <v>8</v>
      </c>
      <c r="B325">
        <v>2019</v>
      </c>
      <c r="C325" t="s">
        <v>9</v>
      </c>
      <c r="D325">
        <v>2764553</v>
      </c>
      <c r="E325">
        <v>2609385</v>
      </c>
      <c r="F325">
        <v>719132</v>
      </c>
      <c r="G325">
        <f>19056+20706</f>
        <v>39762</v>
      </c>
      <c r="H325">
        <f t="shared" si="5"/>
        <v>6093070</v>
      </c>
    </row>
    <row r="326" spans="1:8" x14ac:dyDescent="0.3">
      <c r="A326" t="s">
        <v>8</v>
      </c>
      <c r="B326">
        <v>2019</v>
      </c>
      <c r="C326" t="s">
        <v>10</v>
      </c>
      <c r="D326">
        <v>2626356</v>
      </c>
      <c r="E326">
        <v>2484818</v>
      </c>
      <c r="G326">
        <v>9256</v>
      </c>
      <c r="H326">
        <f t="shared" si="5"/>
        <v>5111174</v>
      </c>
    </row>
    <row r="327" spans="1:8" x14ac:dyDescent="0.3">
      <c r="A327" t="s">
        <v>8</v>
      </c>
      <c r="B327">
        <v>2019</v>
      </c>
      <c r="C327" t="s">
        <v>11</v>
      </c>
      <c r="D327">
        <v>2290378</v>
      </c>
      <c r="E327">
        <v>2170453</v>
      </c>
      <c r="G327">
        <v>3900</v>
      </c>
      <c r="H327">
        <f t="shared" si="5"/>
        <v>4460831</v>
      </c>
    </row>
    <row r="328" spans="1:8" x14ac:dyDescent="0.3">
      <c r="A328" t="s">
        <v>8</v>
      </c>
      <c r="B328">
        <v>2019</v>
      </c>
      <c r="C328" t="s">
        <v>12</v>
      </c>
      <c r="D328">
        <v>2096334</v>
      </c>
      <c r="E328">
        <v>1993686</v>
      </c>
      <c r="G328">
        <v>4899</v>
      </c>
      <c r="H328">
        <f t="shared" si="5"/>
        <v>4090020</v>
      </c>
    </row>
    <row r="329" spans="1:8" x14ac:dyDescent="0.3">
      <c r="A329" t="s">
        <v>8</v>
      </c>
      <c r="B329">
        <v>2019</v>
      </c>
      <c r="C329" t="s">
        <v>13</v>
      </c>
      <c r="D329">
        <v>1904789</v>
      </c>
      <c r="E329">
        <v>1823322</v>
      </c>
      <c r="G329">
        <v>7843</v>
      </c>
      <c r="H329">
        <f t="shared" si="5"/>
        <v>3728111</v>
      </c>
    </row>
    <row r="330" spans="1:8" x14ac:dyDescent="0.3">
      <c r="A330" t="s">
        <v>8</v>
      </c>
      <c r="B330">
        <v>2019</v>
      </c>
      <c r="C330" t="s">
        <v>14</v>
      </c>
      <c r="D330">
        <v>1678326</v>
      </c>
      <c r="E330">
        <v>1607374</v>
      </c>
      <c r="G330">
        <v>34567</v>
      </c>
      <c r="H330">
        <f t="shared" si="5"/>
        <v>3285700</v>
      </c>
    </row>
    <row r="331" spans="1:8" x14ac:dyDescent="0.3">
      <c r="A331" t="s">
        <v>8</v>
      </c>
      <c r="B331">
        <v>2019</v>
      </c>
      <c r="C331" t="s">
        <v>15</v>
      </c>
      <c r="D331">
        <v>1449516</v>
      </c>
      <c r="E331">
        <v>1393015</v>
      </c>
      <c r="G331">
        <v>42090</v>
      </c>
      <c r="H331">
        <f t="shared" si="5"/>
        <v>2842531</v>
      </c>
    </row>
    <row r="332" spans="1:8" x14ac:dyDescent="0.3">
      <c r="A332" t="s">
        <v>8</v>
      </c>
      <c r="B332">
        <v>2019</v>
      </c>
      <c r="C332" t="s">
        <v>16</v>
      </c>
      <c r="D332">
        <v>1227856</v>
      </c>
      <c r="E332">
        <v>1182170</v>
      </c>
      <c r="G332">
        <v>1593</v>
      </c>
      <c r="H332">
        <f t="shared" si="5"/>
        <v>2410026</v>
      </c>
    </row>
    <row r="333" spans="1:8" x14ac:dyDescent="0.3">
      <c r="A333" t="s">
        <v>8</v>
      </c>
      <c r="B333">
        <v>2019</v>
      </c>
      <c r="C333" t="s">
        <v>34</v>
      </c>
      <c r="D333">
        <v>1056219</v>
      </c>
      <c r="E333">
        <v>1033361</v>
      </c>
      <c r="G333">
        <v>4692</v>
      </c>
      <c r="H333">
        <f t="shared" si="5"/>
        <v>2089580</v>
      </c>
    </row>
    <row r="334" spans="1:8" x14ac:dyDescent="0.3">
      <c r="A334" t="s">
        <v>8</v>
      </c>
      <c r="B334">
        <v>2019</v>
      </c>
      <c r="C334" t="s">
        <v>17</v>
      </c>
      <c r="D334">
        <v>855755</v>
      </c>
      <c r="E334">
        <v>868698</v>
      </c>
      <c r="G334">
        <v>3592</v>
      </c>
      <c r="H334">
        <f t="shared" si="5"/>
        <v>1724453</v>
      </c>
    </row>
    <row r="335" spans="1:8" x14ac:dyDescent="0.3">
      <c r="A335" t="s">
        <v>8</v>
      </c>
      <c r="B335">
        <v>2019</v>
      </c>
      <c r="C335" t="s">
        <v>18</v>
      </c>
      <c r="D335">
        <v>639839</v>
      </c>
      <c r="E335">
        <v>690856</v>
      </c>
      <c r="G335">
        <v>4567</v>
      </c>
      <c r="H335">
        <f t="shared" si="5"/>
        <v>1330695</v>
      </c>
    </row>
    <row r="336" spans="1:8" x14ac:dyDescent="0.3">
      <c r="A336" t="s">
        <v>8</v>
      </c>
      <c r="B336">
        <v>2019</v>
      </c>
      <c r="C336" t="s">
        <v>19</v>
      </c>
      <c r="D336">
        <v>398531</v>
      </c>
      <c r="E336">
        <v>462648</v>
      </c>
      <c r="G336">
        <v>7654</v>
      </c>
      <c r="H336">
        <f t="shared" si="5"/>
        <v>861179</v>
      </c>
    </row>
    <row r="337" spans="1:8" x14ac:dyDescent="0.3">
      <c r="A337" t="s">
        <v>8</v>
      </c>
      <c r="B337">
        <v>2019</v>
      </c>
      <c r="C337" t="s">
        <v>20</v>
      </c>
      <c r="D337">
        <v>305098</v>
      </c>
      <c r="E337">
        <v>360493</v>
      </c>
      <c r="G337">
        <v>5986</v>
      </c>
      <c r="H337">
        <f t="shared" si="5"/>
        <v>665591</v>
      </c>
    </row>
    <row r="338" spans="1:8" x14ac:dyDescent="0.3">
      <c r="A338" t="s">
        <v>8</v>
      </c>
      <c r="B338">
        <v>2019</v>
      </c>
      <c r="C338" t="s">
        <v>21</v>
      </c>
      <c r="D338">
        <v>272799</v>
      </c>
      <c r="E338">
        <v>323378</v>
      </c>
      <c r="G338">
        <v>26008</v>
      </c>
      <c r="H338">
        <f t="shared" si="5"/>
        <v>596177</v>
      </c>
    </row>
    <row r="339" spans="1:8" x14ac:dyDescent="0.3">
      <c r="A339" t="s">
        <v>8</v>
      </c>
      <c r="B339">
        <v>2019</v>
      </c>
      <c r="C339" t="s">
        <v>22</v>
      </c>
      <c r="D339">
        <v>145143</v>
      </c>
      <c r="E339">
        <v>166369</v>
      </c>
      <c r="G339">
        <v>6980</v>
      </c>
      <c r="H339">
        <f t="shared" si="5"/>
        <v>311512</v>
      </c>
    </row>
    <row r="340" spans="1:8" x14ac:dyDescent="0.3">
      <c r="A340" t="s">
        <v>8</v>
      </c>
      <c r="B340">
        <v>2019</v>
      </c>
      <c r="C340" t="s">
        <v>23</v>
      </c>
      <c r="D340">
        <v>106278</v>
      </c>
      <c r="E340">
        <v>134244</v>
      </c>
      <c r="G340">
        <v>2457</v>
      </c>
      <c r="H340">
        <f t="shared" si="5"/>
        <v>240522</v>
      </c>
    </row>
    <row r="341" spans="1:8" x14ac:dyDescent="0.3">
      <c r="A341" t="s">
        <v>8</v>
      </c>
      <c r="B341">
        <v>2019</v>
      </c>
      <c r="C341" t="s">
        <v>24</v>
      </c>
      <c r="D341">
        <v>74044</v>
      </c>
      <c r="E341">
        <v>113705</v>
      </c>
      <c r="G341">
        <f>631-112</f>
        <v>519</v>
      </c>
      <c r="H341">
        <f t="shared" si="5"/>
        <v>187749</v>
      </c>
    </row>
    <row r="342" spans="1:8" x14ac:dyDescent="0.3">
      <c r="A342" t="s">
        <v>28</v>
      </c>
      <c r="B342">
        <v>2015</v>
      </c>
      <c r="C342" t="s">
        <v>9</v>
      </c>
      <c r="D342">
        <v>1856293</v>
      </c>
      <c r="E342">
        <v>1757253</v>
      </c>
      <c r="F342">
        <v>737575</v>
      </c>
      <c r="G342">
        <v>703560</v>
      </c>
      <c r="H342">
        <f t="shared" si="5"/>
        <v>4351121</v>
      </c>
    </row>
    <row r="343" spans="1:8" x14ac:dyDescent="0.3">
      <c r="A343" t="s">
        <v>28</v>
      </c>
      <c r="B343">
        <v>2015</v>
      </c>
      <c r="C343" t="s">
        <v>10</v>
      </c>
      <c r="D343">
        <v>1835790</v>
      </c>
      <c r="E343">
        <v>1736124</v>
      </c>
      <c r="G343">
        <v>1580</v>
      </c>
      <c r="H343">
        <f t="shared" si="5"/>
        <v>3571914</v>
      </c>
    </row>
    <row r="344" spans="1:8" x14ac:dyDescent="0.3">
      <c r="A344" t="s">
        <v>28</v>
      </c>
      <c r="B344">
        <v>2015</v>
      </c>
      <c r="C344" t="s">
        <v>11</v>
      </c>
      <c r="D344">
        <v>1901968</v>
      </c>
      <c r="E344">
        <v>1793698</v>
      </c>
      <c r="G344">
        <v>1290</v>
      </c>
      <c r="H344">
        <f t="shared" si="5"/>
        <v>3695666</v>
      </c>
    </row>
    <row r="345" spans="1:8" x14ac:dyDescent="0.3">
      <c r="A345" t="s">
        <v>28</v>
      </c>
      <c r="B345">
        <v>2015</v>
      </c>
      <c r="C345" t="s">
        <v>12</v>
      </c>
      <c r="D345">
        <v>2189470</v>
      </c>
      <c r="E345">
        <v>2000494</v>
      </c>
      <c r="G345">
        <v>3598</v>
      </c>
      <c r="H345">
        <f t="shared" si="5"/>
        <v>4189964</v>
      </c>
    </row>
    <row r="346" spans="1:8" x14ac:dyDescent="0.3">
      <c r="A346" t="s">
        <v>28</v>
      </c>
      <c r="B346">
        <v>2015</v>
      </c>
      <c r="C346" t="s">
        <v>13</v>
      </c>
      <c r="D346">
        <v>2398568</v>
      </c>
      <c r="E346">
        <v>2189310</v>
      </c>
      <c r="G346">
        <v>2987</v>
      </c>
      <c r="H346">
        <f t="shared" si="5"/>
        <v>4587878</v>
      </c>
    </row>
    <row r="347" spans="1:8" x14ac:dyDescent="0.3">
      <c r="A347" t="s">
        <v>28</v>
      </c>
      <c r="B347">
        <v>2015</v>
      </c>
      <c r="C347" t="s">
        <v>14</v>
      </c>
      <c r="D347">
        <v>2798715</v>
      </c>
      <c r="E347">
        <v>2588966</v>
      </c>
      <c r="G347">
        <v>56099</v>
      </c>
      <c r="H347">
        <f t="shared" si="5"/>
        <v>5387681</v>
      </c>
    </row>
    <row r="348" spans="1:8" x14ac:dyDescent="0.3">
      <c r="A348" t="s">
        <v>28</v>
      </c>
      <c r="B348">
        <v>2015</v>
      </c>
      <c r="C348" t="s">
        <v>15</v>
      </c>
      <c r="D348">
        <v>2647069</v>
      </c>
      <c r="E348">
        <v>2520791</v>
      </c>
      <c r="G348">
        <v>57841</v>
      </c>
      <c r="H348">
        <f t="shared" si="5"/>
        <v>5167860</v>
      </c>
    </row>
    <row r="349" spans="1:8" x14ac:dyDescent="0.3">
      <c r="A349" t="s">
        <v>28</v>
      </c>
      <c r="B349">
        <v>2015</v>
      </c>
      <c r="C349" t="s">
        <v>16</v>
      </c>
      <c r="D349">
        <v>2507280</v>
      </c>
      <c r="E349">
        <v>2444464</v>
      </c>
      <c r="G349">
        <v>23844</v>
      </c>
      <c r="H349">
        <f t="shared" si="5"/>
        <v>4951744</v>
      </c>
    </row>
    <row r="350" spans="1:8" x14ac:dyDescent="0.3">
      <c r="A350" t="s">
        <v>28</v>
      </c>
      <c r="B350">
        <v>2015</v>
      </c>
      <c r="C350" t="s">
        <v>34</v>
      </c>
      <c r="D350">
        <v>2518808</v>
      </c>
      <c r="E350">
        <v>2471280</v>
      </c>
      <c r="G350">
        <v>19987</v>
      </c>
      <c r="H350">
        <f t="shared" si="5"/>
        <v>4990088</v>
      </c>
    </row>
    <row r="351" spans="1:8" x14ac:dyDescent="0.3">
      <c r="A351" t="s">
        <v>28</v>
      </c>
      <c r="B351">
        <v>2015</v>
      </c>
      <c r="C351" t="s">
        <v>17</v>
      </c>
      <c r="D351">
        <v>3302545</v>
      </c>
      <c r="E351">
        <v>3221159</v>
      </c>
      <c r="G351">
        <v>10965</v>
      </c>
      <c r="H351">
        <f t="shared" si="5"/>
        <v>6523704</v>
      </c>
    </row>
    <row r="352" spans="1:8" x14ac:dyDescent="0.3">
      <c r="A352" t="s">
        <v>28</v>
      </c>
      <c r="B352">
        <v>2015</v>
      </c>
      <c r="C352" t="s">
        <v>18</v>
      </c>
      <c r="D352">
        <v>3510827</v>
      </c>
      <c r="E352">
        <v>3443938</v>
      </c>
      <c r="G352">
        <v>8032</v>
      </c>
      <c r="H352">
        <f t="shared" si="5"/>
        <v>6954765</v>
      </c>
    </row>
    <row r="353" spans="1:8" x14ac:dyDescent="0.3">
      <c r="A353" t="s">
        <v>28</v>
      </c>
      <c r="B353">
        <v>2015</v>
      </c>
      <c r="C353" t="s">
        <v>19</v>
      </c>
      <c r="D353">
        <v>3012491</v>
      </c>
      <c r="E353">
        <v>3026149</v>
      </c>
      <c r="G353">
        <v>8000</v>
      </c>
      <c r="H353">
        <f t="shared" si="5"/>
        <v>6038640</v>
      </c>
    </row>
    <row r="354" spans="1:8" x14ac:dyDescent="0.3">
      <c r="A354" t="s">
        <v>28</v>
      </c>
      <c r="B354">
        <v>2015</v>
      </c>
      <c r="C354" t="s">
        <v>20</v>
      </c>
      <c r="D354">
        <v>2529258</v>
      </c>
      <c r="E354">
        <v>2672798</v>
      </c>
      <c r="G354">
        <v>6956</v>
      </c>
      <c r="H354">
        <f t="shared" si="5"/>
        <v>5202056</v>
      </c>
    </row>
    <row r="355" spans="1:8" x14ac:dyDescent="0.3">
      <c r="A355" t="s">
        <v>28</v>
      </c>
      <c r="B355">
        <v>2015</v>
      </c>
      <c r="C355" t="s">
        <v>21</v>
      </c>
      <c r="D355">
        <v>2080322</v>
      </c>
      <c r="E355">
        <v>2251562</v>
      </c>
      <c r="G355">
        <v>5983</v>
      </c>
      <c r="H355">
        <f t="shared" si="5"/>
        <v>4331884</v>
      </c>
    </row>
    <row r="356" spans="1:8" x14ac:dyDescent="0.3">
      <c r="A356" t="s">
        <v>28</v>
      </c>
      <c r="B356">
        <v>2015</v>
      </c>
      <c r="C356" t="s">
        <v>22</v>
      </c>
      <c r="D356">
        <v>1847371</v>
      </c>
      <c r="E356">
        <v>2121822</v>
      </c>
      <c r="G356">
        <v>5043</v>
      </c>
      <c r="H356">
        <f t="shared" si="5"/>
        <v>3969193</v>
      </c>
    </row>
    <row r="357" spans="1:8" x14ac:dyDescent="0.3">
      <c r="A357" t="s">
        <v>28</v>
      </c>
      <c r="B357">
        <v>2015</v>
      </c>
      <c r="C357" t="s">
        <v>23</v>
      </c>
      <c r="D357">
        <v>1889669</v>
      </c>
      <c r="E357">
        <v>2380229</v>
      </c>
      <c r="G357">
        <v>2081</v>
      </c>
      <c r="H357">
        <f t="shared" si="5"/>
        <v>4269898</v>
      </c>
    </row>
    <row r="358" spans="1:8" x14ac:dyDescent="0.3">
      <c r="A358" t="s">
        <v>28</v>
      </c>
      <c r="B358">
        <v>2015</v>
      </c>
      <c r="C358" t="s">
        <v>24</v>
      </c>
      <c r="D358">
        <v>1687679</v>
      </c>
      <c r="E358">
        <v>3041524</v>
      </c>
      <c r="G358">
        <v>8054</v>
      </c>
      <c r="H358">
        <f t="shared" si="5"/>
        <v>4729203</v>
      </c>
    </row>
    <row r="359" spans="1:8" x14ac:dyDescent="0.3">
      <c r="A359" t="s">
        <v>28</v>
      </c>
      <c r="B359">
        <v>2016</v>
      </c>
      <c r="C359" t="s">
        <v>9</v>
      </c>
      <c r="D359">
        <v>1928588</v>
      </c>
      <c r="E359">
        <v>1827858</v>
      </c>
      <c r="F359">
        <v>792141</v>
      </c>
      <c r="G359">
        <f>703560-14298</f>
        <v>689262</v>
      </c>
      <c r="H359">
        <f t="shared" si="5"/>
        <v>4548587</v>
      </c>
    </row>
    <row r="360" spans="1:8" x14ac:dyDescent="0.3">
      <c r="A360" t="s">
        <v>28</v>
      </c>
      <c r="B360">
        <v>2016</v>
      </c>
      <c r="C360" t="s">
        <v>10</v>
      </c>
      <c r="D360">
        <v>1857190</v>
      </c>
      <c r="E360">
        <v>1756737</v>
      </c>
      <c r="G360">
        <v>1580</v>
      </c>
      <c r="H360">
        <f t="shared" si="5"/>
        <v>3613927</v>
      </c>
    </row>
    <row r="361" spans="1:8" x14ac:dyDescent="0.3">
      <c r="A361" t="s">
        <v>28</v>
      </c>
      <c r="B361">
        <v>2016</v>
      </c>
      <c r="C361" t="s">
        <v>11</v>
      </c>
      <c r="D361">
        <v>1893522</v>
      </c>
      <c r="E361">
        <v>1784673</v>
      </c>
      <c r="G361">
        <v>1290</v>
      </c>
      <c r="H361">
        <f t="shared" si="5"/>
        <v>3678195</v>
      </c>
    </row>
    <row r="362" spans="1:8" x14ac:dyDescent="0.3">
      <c r="A362" t="s">
        <v>28</v>
      </c>
      <c r="B362">
        <v>2016</v>
      </c>
      <c r="C362" t="s">
        <v>12</v>
      </c>
      <c r="D362">
        <v>2187398</v>
      </c>
      <c r="E362">
        <v>1985471</v>
      </c>
      <c r="G362">
        <v>3598</v>
      </c>
      <c r="H362">
        <f t="shared" si="5"/>
        <v>4172869</v>
      </c>
    </row>
    <row r="363" spans="1:8" x14ac:dyDescent="0.3">
      <c r="A363" t="s">
        <v>28</v>
      </c>
      <c r="B363">
        <v>2016</v>
      </c>
      <c r="C363" t="s">
        <v>13</v>
      </c>
      <c r="D363">
        <v>2395930</v>
      </c>
      <c r="E363">
        <v>2178101</v>
      </c>
      <c r="G363">
        <v>2987</v>
      </c>
      <c r="H363">
        <f t="shared" si="5"/>
        <v>4574031</v>
      </c>
    </row>
    <row r="364" spans="1:8" x14ac:dyDescent="0.3">
      <c r="A364" t="s">
        <v>28</v>
      </c>
      <c r="B364">
        <v>2016</v>
      </c>
      <c r="C364" t="s">
        <v>14</v>
      </c>
      <c r="D364">
        <v>2787105</v>
      </c>
      <c r="E364">
        <v>2579651</v>
      </c>
      <c r="G364">
        <v>56099</v>
      </c>
      <c r="H364">
        <f t="shared" si="5"/>
        <v>5366756</v>
      </c>
    </row>
    <row r="365" spans="1:8" x14ac:dyDescent="0.3">
      <c r="A365" t="s">
        <v>28</v>
      </c>
      <c r="B365">
        <v>2016</v>
      </c>
      <c r="C365" t="s">
        <v>15</v>
      </c>
      <c r="D365">
        <v>2676180</v>
      </c>
      <c r="E365">
        <v>2544895</v>
      </c>
      <c r="G365">
        <v>57841</v>
      </c>
      <c r="H365">
        <f t="shared" si="5"/>
        <v>5221075</v>
      </c>
    </row>
    <row r="366" spans="1:8" x14ac:dyDescent="0.3">
      <c r="A366" t="s">
        <v>28</v>
      </c>
      <c r="B366">
        <v>2016</v>
      </c>
      <c r="C366" t="s">
        <v>16</v>
      </c>
      <c r="D366">
        <v>2557606</v>
      </c>
      <c r="E366">
        <v>2500432</v>
      </c>
      <c r="G366">
        <v>23844</v>
      </c>
      <c r="H366">
        <f t="shared" si="5"/>
        <v>5058038</v>
      </c>
    </row>
    <row r="367" spans="1:8" x14ac:dyDescent="0.3">
      <c r="A367" t="s">
        <v>28</v>
      </c>
      <c r="B367">
        <v>2016</v>
      </c>
      <c r="C367" t="s">
        <v>34</v>
      </c>
      <c r="D367">
        <v>2428357</v>
      </c>
      <c r="E367">
        <v>2393629</v>
      </c>
      <c r="G367">
        <v>19987</v>
      </c>
      <c r="H367">
        <f t="shared" si="5"/>
        <v>4821986</v>
      </c>
    </row>
    <row r="368" spans="1:8" x14ac:dyDescent="0.3">
      <c r="A368" t="s">
        <v>28</v>
      </c>
      <c r="B368">
        <v>2016</v>
      </c>
      <c r="C368" t="s">
        <v>17</v>
      </c>
      <c r="D368">
        <v>3162743</v>
      </c>
      <c r="E368">
        <v>3097169</v>
      </c>
      <c r="G368">
        <v>10965</v>
      </c>
      <c r="H368">
        <f t="shared" si="5"/>
        <v>6259912</v>
      </c>
    </row>
    <row r="369" spans="1:8" x14ac:dyDescent="0.3">
      <c r="A369" t="s">
        <v>28</v>
      </c>
      <c r="B369">
        <v>2016</v>
      </c>
      <c r="C369" t="s">
        <v>18</v>
      </c>
      <c r="D369">
        <v>3526252</v>
      </c>
      <c r="E369">
        <v>3458055</v>
      </c>
      <c r="G369">
        <v>8032</v>
      </c>
      <c r="H369">
        <f t="shared" si="5"/>
        <v>6984307</v>
      </c>
    </row>
    <row r="370" spans="1:8" x14ac:dyDescent="0.3">
      <c r="A370" t="s">
        <v>28</v>
      </c>
      <c r="B370">
        <v>2016</v>
      </c>
      <c r="C370" t="s">
        <v>19</v>
      </c>
      <c r="D370">
        <v>3104747</v>
      </c>
      <c r="E370">
        <v>3118379</v>
      </c>
      <c r="G370">
        <v>8000</v>
      </c>
      <c r="H370">
        <f t="shared" si="5"/>
        <v>6223126</v>
      </c>
    </row>
    <row r="371" spans="1:8" x14ac:dyDescent="0.3">
      <c r="A371" t="s">
        <v>28</v>
      </c>
      <c r="B371">
        <v>2016</v>
      </c>
      <c r="C371" t="s">
        <v>20</v>
      </c>
      <c r="D371">
        <v>2573457</v>
      </c>
      <c r="E371">
        <v>2707823</v>
      </c>
      <c r="G371">
        <v>6956</v>
      </c>
      <c r="H371">
        <f t="shared" si="5"/>
        <v>5281280</v>
      </c>
    </row>
    <row r="372" spans="1:8" x14ac:dyDescent="0.3">
      <c r="A372" t="s">
        <v>28</v>
      </c>
      <c r="B372">
        <v>2016</v>
      </c>
      <c r="C372" t="s">
        <v>21</v>
      </c>
      <c r="D372">
        <v>2186608</v>
      </c>
      <c r="E372">
        <v>2376693</v>
      </c>
      <c r="G372">
        <v>5983</v>
      </c>
      <c r="H372">
        <f t="shared" si="5"/>
        <v>4563301</v>
      </c>
    </row>
    <row r="373" spans="1:8" x14ac:dyDescent="0.3">
      <c r="A373" t="s">
        <v>28</v>
      </c>
      <c r="B373">
        <v>2016</v>
      </c>
      <c r="C373" t="s">
        <v>22</v>
      </c>
      <c r="D373">
        <v>1703714</v>
      </c>
      <c r="E373">
        <v>1951223</v>
      </c>
      <c r="G373">
        <v>5043</v>
      </c>
      <c r="H373">
        <f t="shared" si="5"/>
        <v>3654937</v>
      </c>
    </row>
    <row r="374" spans="1:8" x14ac:dyDescent="0.3">
      <c r="A374" t="s">
        <v>28</v>
      </c>
      <c r="B374">
        <v>2016</v>
      </c>
      <c r="C374" t="s">
        <v>23</v>
      </c>
      <c r="D374">
        <v>1930680</v>
      </c>
      <c r="E374">
        <v>2418877</v>
      </c>
      <c r="G374">
        <v>2081</v>
      </c>
      <c r="H374">
        <f t="shared" si="5"/>
        <v>4349557</v>
      </c>
    </row>
    <row r="375" spans="1:8" x14ac:dyDescent="0.3">
      <c r="A375" t="s">
        <v>28</v>
      </c>
      <c r="B375">
        <v>2016</v>
      </c>
      <c r="C375" t="s">
        <v>24</v>
      </c>
      <c r="D375">
        <v>1797041</v>
      </c>
      <c r="E375">
        <v>3144869</v>
      </c>
      <c r="G375">
        <v>8054</v>
      </c>
      <c r="H375">
        <f t="shared" si="5"/>
        <v>4941910</v>
      </c>
    </row>
    <row r="376" spans="1:8" x14ac:dyDescent="0.3">
      <c r="A376" t="s">
        <v>28</v>
      </c>
      <c r="B376">
        <v>2017</v>
      </c>
      <c r="C376" t="s">
        <v>9</v>
      </c>
      <c r="D376">
        <v>1974218</v>
      </c>
      <c r="E376">
        <v>1872560</v>
      </c>
      <c r="F376">
        <v>784901</v>
      </c>
      <c r="G376">
        <f>703560+7072</f>
        <v>710632</v>
      </c>
      <c r="H376">
        <f t="shared" si="5"/>
        <v>4631679</v>
      </c>
    </row>
    <row r="377" spans="1:8" x14ac:dyDescent="0.3">
      <c r="A377" t="s">
        <v>28</v>
      </c>
      <c r="B377">
        <v>2017</v>
      </c>
      <c r="C377" t="s">
        <v>10</v>
      </c>
      <c r="D377">
        <v>1871418</v>
      </c>
      <c r="E377">
        <v>1770798</v>
      </c>
      <c r="G377">
        <v>1580</v>
      </c>
      <c r="H377">
        <f t="shared" si="5"/>
        <v>3642216</v>
      </c>
    </row>
    <row r="378" spans="1:8" x14ac:dyDescent="0.3">
      <c r="A378" t="s">
        <v>28</v>
      </c>
      <c r="B378">
        <v>2017</v>
      </c>
      <c r="C378" t="s">
        <v>11</v>
      </c>
      <c r="D378">
        <v>1895259</v>
      </c>
      <c r="E378">
        <v>1787506</v>
      </c>
      <c r="G378">
        <v>1290</v>
      </c>
      <c r="H378">
        <f t="shared" si="5"/>
        <v>3682765</v>
      </c>
    </row>
    <row r="379" spans="1:8" x14ac:dyDescent="0.3">
      <c r="A379" t="s">
        <v>28</v>
      </c>
      <c r="B379">
        <v>2017</v>
      </c>
      <c r="C379" t="s">
        <v>12</v>
      </c>
      <c r="D379">
        <v>2131321</v>
      </c>
      <c r="E379">
        <v>1949255</v>
      </c>
      <c r="G379">
        <v>3598</v>
      </c>
      <c r="H379">
        <f t="shared" si="5"/>
        <v>4080576</v>
      </c>
    </row>
    <row r="380" spans="1:8" x14ac:dyDescent="0.3">
      <c r="A380" t="s">
        <v>28</v>
      </c>
      <c r="B380">
        <v>2017</v>
      </c>
      <c r="C380" t="s">
        <v>13</v>
      </c>
      <c r="D380">
        <v>2413076</v>
      </c>
      <c r="E380">
        <v>2189438</v>
      </c>
      <c r="G380">
        <v>2987</v>
      </c>
      <c r="H380">
        <f t="shared" si="5"/>
        <v>4602514</v>
      </c>
    </row>
    <row r="381" spans="1:8" x14ac:dyDescent="0.3">
      <c r="A381" t="s">
        <v>28</v>
      </c>
      <c r="B381">
        <v>2017</v>
      </c>
      <c r="C381" t="s">
        <v>14</v>
      </c>
      <c r="D381">
        <v>2749822</v>
      </c>
      <c r="E381">
        <v>2548258</v>
      </c>
      <c r="G381">
        <v>56099</v>
      </c>
      <c r="H381">
        <f t="shared" si="5"/>
        <v>5298080</v>
      </c>
    </row>
    <row r="382" spans="1:8" x14ac:dyDescent="0.3">
      <c r="A382" t="s">
        <v>28</v>
      </c>
      <c r="B382">
        <v>2017</v>
      </c>
      <c r="C382" t="s">
        <v>15</v>
      </c>
      <c r="D382">
        <v>2716697</v>
      </c>
      <c r="E382">
        <v>2573555</v>
      </c>
      <c r="G382">
        <v>57841</v>
      </c>
      <c r="H382">
        <f t="shared" si="5"/>
        <v>5290252</v>
      </c>
    </row>
    <row r="383" spans="1:8" x14ac:dyDescent="0.3">
      <c r="A383" t="s">
        <v>28</v>
      </c>
      <c r="B383">
        <v>2017</v>
      </c>
      <c r="C383" t="s">
        <v>16</v>
      </c>
      <c r="D383">
        <v>2612793</v>
      </c>
      <c r="E383">
        <v>2550417</v>
      </c>
      <c r="G383">
        <v>23844</v>
      </c>
      <c r="H383">
        <f t="shared" si="5"/>
        <v>5163210</v>
      </c>
    </row>
    <row r="384" spans="1:8" x14ac:dyDescent="0.3">
      <c r="A384" t="s">
        <v>28</v>
      </c>
      <c r="B384">
        <v>2017</v>
      </c>
      <c r="C384" t="s">
        <v>34</v>
      </c>
      <c r="D384">
        <v>2411226</v>
      </c>
      <c r="E384">
        <v>2377131</v>
      </c>
      <c r="G384">
        <v>19987</v>
      </c>
      <c r="H384">
        <f t="shared" si="5"/>
        <v>4788357</v>
      </c>
    </row>
    <row r="385" spans="1:8" x14ac:dyDescent="0.3">
      <c r="A385" t="s">
        <v>28</v>
      </c>
      <c r="B385">
        <v>2017</v>
      </c>
      <c r="C385" t="s">
        <v>17</v>
      </c>
      <c r="D385">
        <v>2999227</v>
      </c>
      <c r="E385">
        <v>2944060</v>
      </c>
      <c r="G385">
        <v>10965</v>
      </c>
      <c r="H385">
        <f t="shared" si="5"/>
        <v>5943287</v>
      </c>
    </row>
    <row r="386" spans="1:8" x14ac:dyDescent="0.3">
      <c r="A386" t="s">
        <v>28</v>
      </c>
      <c r="B386">
        <v>2017</v>
      </c>
      <c r="C386" t="s">
        <v>18</v>
      </c>
      <c r="D386">
        <v>3517989</v>
      </c>
      <c r="E386">
        <v>3450056</v>
      </c>
      <c r="G386">
        <v>8032</v>
      </c>
      <c r="H386">
        <f t="shared" ref="H386:H426" si="6">SUM(D386:F386)</f>
        <v>6968045</v>
      </c>
    </row>
    <row r="387" spans="1:8" x14ac:dyDescent="0.3">
      <c r="A387" t="s">
        <v>28</v>
      </c>
      <c r="B387">
        <v>2017</v>
      </c>
      <c r="C387" t="s">
        <v>19</v>
      </c>
      <c r="D387">
        <v>3196294</v>
      </c>
      <c r="E387">
        <v>3205222</v>
      </c>
      <c r="G387">
        <v>8000</v>
      </c>
      <c r="H387">
        <f t="shared" si="6"/>
        <v>6401516</v>
      </c>
    </row>
    <row r="388" spans="1:8" x14ac:dyDescent="0.3">
      <c r="A388" t="s">
        <v>28</v>
      </c>
      <c r="B388">
        <v>2017</v>
      </c>
      <c r="C388" t="s">
        <v>20</v>
      </c>
      <c r="D388">
        <v>2627990</v>
      </c>
      <c r="E388">
        <v>2747063</v>
      </c>
      <c r="G388">
        <v>6956</v>
      </c>
      <c r="H388">
        <f t="shared" si="6"/>
        <v>5375053</v>
      </c>
    </row>
    <row r="389" spans="1:8" x14ac:dyDescent="0.3">
      <c r="A389" t="s">
        <v>28</v>
      </c>
      <c r="B389">
        <v>2017</v>
      </c>
      <c r="C389" t="s">
        <v>21</v>
      </c>
      <c r="D389">
        <v>2252151</v>
      </c>
      <c r="E389">
        <v>2459543</v>
      </c>
      <c r="G389">
        <v>5983</v>
      </c>
      <c r="H389">
        <f t="shared" si="6"/>
        <v>4711694</v>
      </c>
    </row>
    <row r="390" spans="1:8" x14ac:dyDescent="0.3">
      <c r="A390" t="s">
        <v>28</v>
      </c>
      <c r="B390">
        <v>2017</v>
      </c>
      <c r="C390" t="s">
        <v>22</v>
      </c>
      <c r="D390">
        <v>1684492</v>
      </c>
      <c r="E390">
        <v>1927417</v>
      </c>
      <c r="G390">
        <v>5043</v>
      </c>
      <c r="H390">
        <f t="shared" si="6"/>
        <v>3611909</v>
      </c>
    </row>
    <row r="391" spans="1:8" x14ac:dyDescent="0.3">
      <c r="A391" t="s">
        <v>28</v>
      </c>
      <c r="B391">
        <v>2017</v>
      </c>
      <c r="C391" t="s">
        <v>23</v>
      </c>
      <c r="D391">
        <v>1884435</v>
      </c>
      <c r="E391">
        <v>2350988</v>
      </c>
      <c r="G391">
        <v>2081</v>
      </c>
      <c r="H391">
        <f t="shared" si="6"/>
        <v>4235423</v>
      </c>
    </row>
    <row r="392" spans="1:8" x14ac:dyDescent="0.3">
      <c r="A392" t="s">
        <v>28</v>
      </c>
      <c r="B392">
        <v>2017</v>
      </c>
      <c r="C392" t="s">
        <v>24</v>
      </c>
      <c r="D392">
        <v>1905166</v>
      </c>
      <c r="E392">
        <v>3245519</v>
      </c>
      <c r="G392">
        <v>8054</v>
      </c>
      <c r="H392">
        <f t="shared" si="6"/>
        <v>5150685</v>
      </c>
    </row>
    <row r="393" spans="1:8" x14ac:dyDescent="0.3">
      <c r="A393" t="s">
        <v>28</v>
      </c>
      <c r="B393">
        <v>2018</v>
      </c>
      <c r="C393" t="s">
        <v>9</v>
      </c>
      <c r="D393">
        <v>2014097</v>
      </c>
      <c r="E393">
        <v>1912300</v>
      </c>
      <c r="F393">
        <v>787523</v>
      </c>
      <c r="G393">
        <f>703560+29775</f>
        <v>733335</v>
      </c>
      <c r="H393">
        <f t="shared" si="6"/>
        <v>4713920</v>
      </c>
    </row>
    <row r="394" spans="1:8" x14ac:dyDescent="0.3">
      <c r="A394" t="s">
        <v>28</v>
      </c>
      <c r="B394">
        <v>2018</v>
      </c>
      <c r="C394" t="s">
        <v>10</v>
      </c>
      <c r="D394">
        <v>1882175</v>
      </c>
      <c r="E394">
        <v>1780063</v>
      </c>
      <c r="G394">
        <v>1580</v>
      </c>
      <c r="H394">
        <f t="shared" si="6"/>
        <v>3662238</v>
      </c>
    </row>
    <row r="395" spans="1:8" x14ac:dyDescent="0.3">
      <c r="A395" t="s">
        <v>28</v>
      </c>
      <c r="B395">
        <v>2018</v>
      </c>
      <c r="C395" t="s">
        <v>11</v>
      </c>
      <c r="D395">
        <v>1904430</v>
      </c>
      <c r="E395">
        <v>1797750</v>
      </c>
      <c r="G395">
        <v>1290</v>
      </c>
      <c r="H395">
        <f t="shared" si="6"/>
        <v>3702180</v>
      </c>
    </row>
    <row r="396" spans="1:8" x14ac:dyDescent="0.3">
      <c r="A396" t="s">
        <v>28</v>
      </c>
      <c r="B396">
        <v>2018</v>
      </c>
      <c r="C396" t="s">
        <v>12</v>
      </c>
      <c r="D396">
        <v>2082699</v>
      </c>
      <c r="E396">
        <v>1920778</v>
      </c>
      <c r="G396">
        <v>3598</v>
      </c>
      <c r="H396">
        <f t="shared" si="6"/>
        <v>4003477</v>
      </c>
    </row>
    <row r="397" spans="1:8" x14ac:dyDescent="0.3">
      <c r="A397" t="s">
        <v>28</v>
      </c>
      <c r="B397">
        <v>2018</v>
      </c>
      <c r="C397" t="s">
        <v>13</v>
      </c>
      <c r="D397">
        <v>2415012</v>
      </c>
      <c r="E397">
        <v>2192260</v>
      </c>
      <c r="G397">
        <v>2987</v>
      </c>
      <c r="H397">
        <f t="shared" si="6"/>
        <v>4607272</v>
      </c>
    </row>
    <row r="398" spans="1:8" x14ac:dyDescent="0.3">
      <c r="A398" t="s">
        <v>28</v>
      </c>
      <c r="B398">
        <v>2018</v>
      </c>
      <c r="C398" t="s">
        <v>14</v>
      </c>
      <c r="D398">
        <v>2695936</v>
      </c>
      <c r="E398">
        <v>2497399</v>
      </c>
      <c r="G398">
        <v>56099</v>
      </c>
      <c r="H398">
        <f t="shared" si="6"/>
        <v>5193335</v>
      </c>
    </row>
    <row r="399" spans="1:8" x14ac:dyDescent="0.3">
      <c r="A399" t="s">
        <v>28</v>
      </c>
      <c r="B399">
        <v>2018</v>
      </c>
      <c r="C399" t="s">
        <v>15</v>
      </c>
      <c r="D399">
        <v>2784081</v>
      </c>
      <c r="E399">
        <v>2624948</v>
      </c>
      <c r="G399">
        <v>57841</v>
      </c>
      <c r="H399">
        <f t="shared" si="6"/>
        <v>5409029</v>
      </c>
    </row>
    <row r="400" spans="1:8" x14ac:dyDescent="0.3">
      <c r="A400" t="s">
        <v>28</v>
      </c>
      <c r="B400">
        <v>2018</v>
      </c>
      <c r="C400" t="s">
        <v>16</v>
      </c>
      <c r="D400">
        <v>2653317</v>
      </c>
      <c r="E400">
        <v>2584099</v>
      </c>
      <c r="G400">
        <v>23844</v>
      </c>
      <c r="H400">
        <f t="shared" si="6"/>
        <v>5237416</v>
      </c>
    </row>
    <row r="401" spans="1:8" x14ac:dyDescent="0.3">
      <c r="A401" t="s">
        <v>28</v>
      </c>
      <c r="B401">
        <v>2018</v>
      </c>
      <c r="C401" t="s">
        <v>34</v>
      </c>
      <c r="D401">
        <v>2438958</v>
      </c>
      <c r="E401">
        <v>2402780</v>
      </c>
      <c r="G401">
        <v>19987</v>
      </c>
      <c r="H401">
        <f t="shared" si="6"/>
        <v>4841738</v>
      </c>
    </row>
    <row r="402" spans="1:8" x14ac:dyDescent="0.3">
      <c r="A402" t="s">
        <v>28</v>
      </c>
      <c r="B402">
        <v>2018</v>
      </c>
      <c r="C402" t="s">
        <v>17</v>
      </c>
      <c r="D402">
        <v>2812217</v>
      </c>
      <c r="E402">
        <v>2772302</v>
      </c>
      <c r="G402">
        <v>10965</v>
      </c>
      <c r="H402">
        <f t="shared" si="6"/>
        <v>5584519</v>
      </c>
    </row>
    <row r="403" spans="1:8" x14ac:dyDescent="0.3">
      <c r="A403" t="s">
        <v>28</v>
      </c>
      <c r="B403">
        <v>2018</v>
      </c>
      <c r="C403" t="s">
        <v>18</v>
      </c>
      <c r="D403">
        <v>3470222</v>
      </c>
      <c r="E403">
        <v>3405726</v>
      </c>
      <c r="G403">
        <v>8032</v>
      </c>
      <c r="H403">
        <f t="shared" si="6"/>
        <v>6875948</v>
      </c>
    </row>
    <row r="404" spans="1:8" x14ac:dyDescent="0.3">
      <c r="A404" t="s">
        <v>28</v>
      </c>
      <c r="B404">
        <v>2018</v>
      </c>
      <c r="C404" t="s">
        <v>19</v>
      </c>
      <c r="D404">
        <v>3297674</v>
      </c>
      <c r="E404">
        <v>3300544</v>
      </c>
      <c r="G404">
        <v>8000</v>
      </c>
      <c r="H404">
        <f t="shared" si="6"/>
        <v>6598218</v>
      </c>
    </row>
    <row r="405" spans="1:8" x14ac:dyDescent="0.3">
      <c r="A405" t="s">
        <v>28</v>
      </c>
      <c r="B405">
        <v>2018</v>
      </c>
      <c r="C405" t="s">
        <v>20</v>
      </c>
      <c r="D405">
        <v>2695725</v>
      </c>
      <c r="E405">
        <v>2798189</v>
      </c>
      <c r="G405">
        <v>6956</v>
      </c>
      <c r="H405">
        <f t="shared" si="6"/>
        <v>5493914</v>
      </c>
    </row>
    <row r="406" spans="1:8" x14ac:dyDescent="0.3">
      <c r="A406" t="s">
        <v>28</v>
      </c>
      <c r="B406">
        <v>2018</v>
      </c>
      <c r="C406" t="s">
        <v>21</v>
      </c>
      <c r="D406">
        <v>2291634</v>
      </c>
      <c r="E406">
        <v>2516863</v>
      </c>
      <c r="G406">
        <v>5983</v>
      </c>
      <c r="H406">
        <f t="shared" si="6"/>
        <v>4808497</v>
      </c>
    </row>
    <row r="407" spans="1:8" x14ac:dyDescent="0.3">
      <c r="A407" t="s">
        <v>28</v>
      </c>
      <c r="B407">
        <v>2018</v>
      </c>
      <c r="C407" t="s">
        <v>22</v>
      </c>
      <c r="D407">
        <v>1679886</v>
      </c>
      <c r="E407">
        <v>1916659</v>
      </c>
      <c r="G407">
        <v>5043</v>
      </c>
      <c r="H407">
        <f t="shared" si="6"/>
        <v>3596545</v>
      </c>
    </row>
    <row r="408" spans="1:8" x14ac:dyDescent="0.3">
      <c r="A408" t="s">
        <v>28</v>
      </c>
      <c r="B408">
        <v>2018</v>
      </c>
      <c r="C408" t="s">
        <v>23</v>
      </c>
      <c r="D408">
        <v>1823611</v>
      </c>
      <c r="E408">
        <v>2265773</v>
      </c>
      <c r="G408">
        <v>2081</v>
      </c>
      <c r="H408">
        <f t="shared" si="6"/>
        <v>4089384</v>
      </c>
    </row>
    <row r="409" spans="1:8" x14ac:dyDescent="0.3">
      <c r="A409" t="s">
        <v>28</v>
      </c>
      <c r="B409">
        <v>2018</v>
      </c>
      <c r="C409" t="s">
        <v>24</v>
      </c>
      <c r="D409">
        <v>2025017</v>
      </c>
      <c r="E409">
        <v>3364089</v>
      </c>
      <c r="G409">
        <v>8054</v>
      </c>
      <c r="H409">
        <f t="shared" si="6"/>
        <v>5389106</v>
      </c>
    </row>
    <row r="410" spans="1:8" x14ac:dyDescent="0.3">
      <c r="A410" t="s">
        <v>28</v>
      </c>
      <c r="B410">
        <v>2019</v>
      </c>
      <c r="C410" t="s">
        <v>9</v>
      </c>
      <c r="D410">
        <v>2031709</v>
      </c>
      <c r="E410">
        <v>1929667</v>
      </c>
      <c r="F410">
        <v>778090</v>
      </c>
      <c r="G410">
        <f>14320+703560</f>
        <v>717880</v>
      </c>
      <c r="H410">
        <f t="shared" si="6"/>
        <v>4739466</v>
      </c>
    </row>
    <row r="411" spans="1:8" x14ac:dyDescent="0.3">
      <c r="A411" t="s">
        <v>28</v>
      </c>
      <c r="B411">
        <v>2019</v>
      </c>
      <c r="C411" t="s">
        <v>10</v>
      </c>
      <c r="D411">
        <v>1914843</v>
      </c>
      <c r="E411">
        <v>1812127</v>
      </c>
      <c r="G411">
        <v>1580</v>
      </c>
      <c r="H411">
        <f t="shared" si="6"/>
        <v>3726970</v>
      </c>
    </row>
    <row r="412" spans="1:8" x14ac:dyDescent="0.3">
      <c r="A412" t="s">
        <v>28</v>
      </c>
      <c r="B412">
        <v>2019</v>
      </c>
      <c r="C412" t="s">
        <v>11</v>
      </c>
      <c r="D412">
        <v>1905151</v>
      </c>
      <c r="E412">
        <v>1797762</v>
      </c>
      <c r="G412">
        <v>1290</v>
      </c>
      <c r="H412">
        <f t="shared" si="6"/>
        <v>3702913</v>
      </c>
    </row>
    <row r="413" spans="1:8" x14ac:dyDescent="0.3">
      <c r="A413" t="s">
        <v>28</v>
      </c>
      <c r="B413">
        <v>2019</v>
      </c>
      <c r="C413" t="s">
        <v>12</v>
      </c>
      <c r="D413">
        <v>2038846</v>
      </c>
      <c r="E413">
        <v>1900397</v>
      </c>
      <c r="G413">
        <v>3598</v>
      </c>
      <c r="H413">
        <f t="shared" si="6"/>
        <v>3939243</v>
      </c>
    </row>
    <row r="414" spans="1:8" x14ac:dyDescent="0.3">
      <c r="A414" t="s">
        <v>28</v>
      </c>
      <c r="B414">
        <v>2019</v>
      </c>
      <c r="C414" t="s">
        <v>13</v>
      </c>
      <c r="D414">
        <v>2416497</v>
      </c>
      <c r="E414">
        <v>2191934</v>
      </c>
      <c r="G414">
        <v>2987</v>
      </c>
      <c r="H414">
        <f t="shared" si="6"/>
        <v>4608431</v>
      </c>
    </row>
    <row r="415" spans="1:8" x14ac:dyDescent="0.3">
      <c r="A415" t="s">
        <v>28</v>
      </c>
      <c r="B415">
        <v>2019</v>
      </c>
      <c r="C415" t="s">
        <v>14</v>
      </c>
      <c r="D415">
        <v>2635982</v>
      </c>
      <c r="E415">
        <v>2438489</v>
      </c>
      <c r="G415">
        <v>56099</v>
      </c>
      <c r="H415">
        <f t="shared" si="6"/>
        <v>5074471</v>
      </c>
    </row>
    <row r="416" spans="1:8" x14ac:dyDescent="0.3">
      <c r="A416" t="s">
        <v>28</v>
      </c>
      <c r="B416">
        <v>2019</v>
      </c>
      <c r="C416" t="s">
        <v>15</v>
      </c>
      <c r="D416">
        <v>2830265</v>
      </c>
      <c r="E416">
        <v>2665445</v>
      </c>
      <c r="G416">
        <v>57841</v>
      </c>
      <c r="H416">
        <f t="shared" si="6"/>
        <v>5495710</v>
      </c>
    </row>
    <row r="417" spans="1:8" x14ac:dyDescent="0.3">
      <c r="A417" t="s">
        <v>28</v>
      </c>
      <c r="B417">
        <v>2019</v>
      </c>
      <c r="C417" t="s">
        <v>16</v>
      </c>
      <c r="D417">
        <v>2683121</v>
      </c>
      <c r="E417">
        <v>2606089</v>
      </c>
      <c r="G417">
        <v>23844</v>
      </c>
      <c r="H417">
        <f t="shared" si="6"/>
        <v>5289210</v>
      </c>
    </row>
    <row r="418" spans="1:8" x14ac:dyDescent="0.3">
      <c r="A418" t="s">
        <v>28</v>
      </c>
      <c r="B418">
        <v>2019</v>
      </c>
      <c r="C418" t="s">
        <v>34</v>
      </c>
      <c r="D418">
        <v>2470934</v>
      </c>
      <c r="E418">
        <v>2438092</v>
      </c>
      <c r="G418">
        <v>19987</v>
      </c>
      <c r="H418">
        <f t="shared" si="6"/>
        <v>4909026</v>
      </c>
    </row>
    <row r="419" spans="1:8" x14ac:dyDescent="0.3">
      <c r="A419" t="s">
        <v>28</v>
      </c>
      <c r="B419">
        <v>2019</v>
      </c>
      <c r="C419" t="s">
        <v>17</v>
      </c>
      <c r="D419">
        <v>2648940</v>
      </c>
      <c r="E419">
        <v>2624418</v>
      </c>
      <c r="G419">
        <v>10965</v>
      </c>
      <c r="H419">
        <f t="shared" si="6"/>
        <v>5273358</v>
      </c>
    </row>
    <row r="420" spans="1:8" x14ac:dyDescent="0.3">
      <c r="A420" t="s">
        <v>28</v>
      </c>
      <c r="B420">
        <v>2019</v>
      </c>
      <c r="C420" t="s">
        <v>18</v>
      </c>
      <c r="D420">
        <v>3383771</v>
      </c>
      <c r="E420">
        <v>3326464</v>
      </c>
      <c r="G420">
        <v>8032</v>
      </c>
      <c r="H420">
        <f t="shared" si="6"/>
        <v>6710235</v>
      </c>
    </row>
    <row r="421" spans="1:8" x14ac:dyDescent="0.3">
      <c r="A421" t="s">
        <v>28</v>
      </c>
      <c r="B421">
        <v>2019</v>
      </c>
      <c r="C421" t="s">
        <v>19</v>
      </c>
      <c r="D421">
        <v>3370390</v>
      </c>
      <c r="E421">
        <v>3366915</v>
      </c>
      <c r="G421">
        <v>8000</v>
      </c>
      <c r="H421">
        <f t="shared" si="6"/>
        <v>6737305</v>
      </c>
    </row>
    <row r="422" spans="1:8" x14ac:dyDescent="0.3">
      <c r="A422" t="s">
        <v>28</v>
      </c>
      <c r="B422">
        <v>2019</v>
      </c>
      <c r="C422" t="s">
        <v>20</v>
      </c>
      <c r="D422">
        <v>2779453</v>
      </c>
      <c r="E422">
        <v>2868318</v>
      </c>
      <c r="G422">
        <v>6956</v>
      </c>
      <c r="H422">
        <f t="shared" si="6"/>
        <v>5647771</v>
      </c>
    </row>
    <row r="423" spans="1:8" x14ac:dyDescent="0.3">
      <c r="A423" t="s">
        <v>28</v>
      </c>
      <c r="B423">
        <v>2019</v>
      </c>
      <c r="C423" t="s">
        <v>21</v>
      </c>
      <c r="D423">
        <v>2312527</v>
      </c>
      <c r="E423">
        <v>2564505</v>
      </c>
      <c r="G423">
        <v>5983</v>
      </c>
      <c r="H423">
        <f t="shared" si="6"/>
        <v>4877032</v>
      </c>
    </row>
    <row r="424" spans="1:8" x14ac:dyDescent="0.3">
      <c r="A424" t="s">
        <v>28</v>
      </c>
      <c r="B424">
        <v>2019</v>
      </c>
      <c r="C424" t="s">
        <v>22</v>
      </c>
      <c r="D424">
        <v>1718280</v>
      </c>
      <c r="E424">
        <v>1955815</v>
      </c>
      <c r="G424">
        <v>5043</v>
      </c>
      <c r="H424">
        <f t="shared" si="6"/>
        <v>3674095</v>
      </c>
    </row>
    <row r="425" spans="1:8" x14ac:dyDescent="0.3">
      <c r="A425" t="s">
        <v>28</v>
      </c>
      <c r="B425">
        <v>2019</v>
      </c>
      <c r="C425" t="s">
        <v>23</v>
      </c>
      <c r="D425">
        <v>1733030</v>
      </c>
      <c r="E425">
        <v>2143390</v>
      </c>
      <c r="G425">
        <v>2081</v>
      </c>
      <c r="H425">
        <f t="shared" si="6"/>
        <v>3876420</v>
      </c>
    </row>
    <row r="426" spans="1:8" x14ac:dyDescent="0.3">
      <c r="A426" t="s">
        <v>28</v>
      </c>
      <c r="B426">
        <v>2019</v>
      </c>
      <c r="C426" t="s">
        <v>24</v>
      </c>
      <c r="D426">
        <v>2163874</v>
      </c>
      <c r="E426">
        <v>3517261</v>
      </c>
      <c r="G426">
        <v>8054</v>
      </c>
      <c r="H426">
        <f t="shared" si="6"/>
        <v>5681135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4A337E9F-FC72-491A-8A3A-6E410633734A}">
  <ds:schemaRefs/>
</ds:datastoreItem>
</file>

<file path=customXml/itemProps2.xml><?xml version="1.0" encoding="utf-8"?>
<ds:datastoreItem xmlns:ds="http://schemas.openxmlformats.org/officeDocument/2006/customXml" ds:itemID="{C0D6CEDC-B1C8-4486-B889-46A877ECFCB8}">
  <ds:schemaRefs/>
</ds:datastoreItem>
</file>

<file path=customXml/itemProps3.xml><?xml version="1.0" encoding="utf-8"?>
<ds:datastoreItem xmlns:ds="http://schemas.openxmlformats.org/officeDocument/2006/customXml" ds:itemID="{0DE8A443-5E01-46A4-8B42-380CE3AA14CF}">
  <ds:schemaRefs/>
</ds:datastoreItem>
</file>

<file path=customXml/itemProps4.xml><?xml version="1.0" encoding="utf-8"?>
<ds:datastoreItem xmlns:ds="http://schemas.openxmlformats.org/officeDocument/2006/customXml" ds:itemID="{0B6ABA0C-6208-4DEC-9A02-53D767E090CB}">
  <ds:schemaRefs/>
</ds:datastoreItem>
</file>

<file path=customXml/itemProps5.xml><?xml version="1.0" encoding="utf-8"?>
<ds:datastoreItem xmlns:ds="http://schemas.openxmlformats.org/officeDocument/2006/customXml" ds:itemID="{5C9EE892-A0D1-42EA-A38A-A5CFF0B13F49}">
  <ds:schemaRefs/>
</ds:datastoreItem>
</file>

<file path=customXml/itemProps6.xml><?xml version="1.0" encoding="utf-8"?>
<ds:datastoreItem xmlns:ds="http://schemas.openxmlformats.org/officeDocument/2006/customXml" ds:itemID="{7FD3B62D-4755-42B5-BD5B-E42B8BA55FCD}">
  <ds:schemaRefs/>
</ds:datastoreItem>
</file>

<file path=customXml/itemProps7.xml><?xml version="1.0" encoding="utf-8"?>
<ds:datastoreItem xmlns:ds="http://schemas.openxmlformats.org/officeDocument/2006/customXml" ds:itemID="{DE59A3A1-5FF5-4C86-B87E-29FD2A98DE4B}">
  <ds:schemaRefs/>
</ds:datastoreItem>
</file>

<file path=customXml/itemProps8.xml><?xml version="1.0" encoding="utf-8"?>
<ds:datastoreItem xmlns:ds="http://schemas.openxmlformats.org/officeDocument/2006/customXml" ds:itemID="{79710CB8-D2C5-4A35-BD03-C77152E92FED}">
  <ds:schemaRefs/>
</ds:datastoreItem>
</file>

<file path=customXml/itemProps9.xml><?xml version="1.0" encoding="utf-8"?>
<ds:datastoreItem xmlns:ds="http://schemas.openxmlformats.org/officeDocument/2006/customXml" ds:itemID="{ED3FAC7F-7E7A-4877-8D94-4E59B5C2FB31}">
  <ds:schemaRefs/>
</ds:datastoreItem>
</file>

<file path=customXml/itemProps10.xml><?xml version="1.0" encoding="utf-8"?>
<ds:datastoreItem xmlns:ds="http://schemas.openxmlformats.org/officeDocument/2006/customXml" ds:itemID="{1122CE46-916B-4237-BC37-2DC124356C2E}">
  <ds:schemaRefs/>
</ds:datastoreItem>
</file>

<file path=customXml/itemProps11.xml><?xml version="1.0" encoding="utf-8"?>
<ds:datastoreItem xmlns:ds="http://schemas.openxmlformats.org/officeDocument/2006/customXml" ds:itemID="{C5C02CAF-011B-4FDD-850C-6C8AE9CFCA7D}">
  <ds:schemaRefs/>
</ds:datastoreItem>
</file>

<file path=customXml/itemProps12.xml><?xml version="1.0" encoding="utf-8"?>
<ds:datastoreItem xmlns:ds="http://schemas.openxmlformats.org/officeDocument/2006/customXml" ds:itemID="{46E9D0BF-96F3-4B58-A737-9E6FDAA34895}">
  <ds:schemaRefs/>
</ds:datastoreItem>
</file>

<file path=customXml/itemProps13.xml><?xml version="1.0" encoding="utf-8"?>
<ds:datastoreItem xmlns:ds="http://schemas.openxmlformats.org/officeDocument/2006/customXml" ds:itemID="{C7FD5E97-3232-4212-8121-C98FA7B814DE}">
  <ds:schemaRefs/>
</ds:datastoreItem>
</file>

<file path=customXml/itemProps14.xml><?xml version="1.0" encoding="utf-8"?>
<ds:datastoreItem xmlns:ds="http://schemas.openxmlformats.org/officeDocument/2006/customXml" ds:itemID="{69ACD47D-465F-4837-9DCF-D8C48AD6AA83}">
  <ds:schemaRefs/>
</ds:datastoreItem>
</file>

<file path=customXml/itemProps15.xml><?xml version="1.0" encoding="utf-8"?>
<ds:datastoreItem xmlns:ds="http://schemas.openxmlformats.org/officeDocument/2006/customXml" ds:itemID="{B4A370D4-95D1-48B4-AEAB-EBBC7ECD1AA0}">
  <ds:schemaRefs/>
</ds:datastoreItem>
</file>

<file path=customXml/itemProps16.xml><?xml version="1.0" encoding="utf-8"?>
<ds:datastoreItem xmlns:ds="http://schemas.openxmlformats.org/officeDocument/2006/customXml" ds:itemID="{47C54431-C8CA-460B-8F39-55143F8FF57E}">
  <ds:schemaRefs/>
</ds:datastoreItem>
</file>

<file path=customXml/itemProps17.xml><?xml version="1.0" encoding="utf-8"?>
<ds:datastoreItem xmlns:ds="http://schemas.openxmlformats.org/officeDocument/2006/customXml" ds:itemID="{CFD18589-CC73-4BFB-AA1C-E902EB0F67E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Bare charts</vt:lpstr>
      <vt:lpstr>Pivot Tables</vt:lpstr>
      <vt:lpstr>Refined Population Dataset</vt:lpstr>
      <vt:lpstr>Raw DataSet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Adityendra Pratap Singh</dc:creator>
  <cp:lastModifiedBy>Adityendra Pratap Singh</cp:lastModifiedBy>
  <dcterms:created xsi:type="dcterms:W3CDTF">2021-12-06T13:15:38Z</dcterms:created>
  <dcterms:modified xsi:type="dcterms:W3CDTF">2022-07-24T01:36:03Z</dcterms:modified>
</cp:coreProperties>
</file>